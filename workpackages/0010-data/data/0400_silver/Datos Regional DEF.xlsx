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os Regional BRUTOS" sheetId="1" state="visible" r:id="rId2"/>
    <sheet name="Datos ponderados" sheetId="2" state="visible" r:id="rId3"/>
    <sheet name="Índice Clima-Gen + CC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<sst xmlns="http://schemas.openxmlformats.org/spreadsheetml/2006/main" count="245" uniqueCount="95">
  <si>
    <t xml:space="preserve">Riesgo de inundaciones</t>
  </si>
  <si>
    <t xml:space="preserve">Riesgo de incendio</t>
  </si>
  <si>
    <t xml:space="preserve">Exposición a la sequía</t>
  </si>
  <si>
    <t xml:space="preserve">Exposición a contaminación</t>
  </si>
  <si>
    <t xml:space="preserve">Proporción mujeres empleadas sector primario</t>
  </si>
  <si>
    <t xml:space="preserve">Igualdad jefatura (titular) de la explotación agrícola</t>
  </si>
  <si>
    <t xml:space="preserve">Proporción población infantil</t>
  </si>
  <si>
    <t xml:space="preserve">Igualdad población infantil </t>
  </si>
  <si>
    <t xml:space="preserve">Proporción población +65</t>
  </si>
  <si>
    <t xml:space="preserve">Igualdad población +65 </t>
  </si>
  <si>
    <t xml:space="preserve">Proporción mujeres sobre la población total</t>
  </si>
  <si>
    <t xml:space="preserve">dependencia</t>
  </si>
  <si>
    <t xml:space="preserve">discapacidad</t>
  </si>
  <si>
    <t xml:space="preserve">Igualdad discapacidad  </t>
  </si>
  <si>
    <t xml:space="preserve">Igualdad en inmigraciones procedentes del extranjero </t>
  </si>
  <si>
    <t xml:space="preserve">Igualdad en emigraciones con destino al extranjero</t>
  </si>
  <si>
    <t xml:space="preserve">Distribución de la renta P80/P20</t>
  </si>
  <si>
    <t xml:space="preserve">riesgo de pobreza </t>
  </si>
  <si>
    <t xml:space="preserve">renta media neta por persona</t>
  </si>
  <si>
    <t xml:space="preserve">renta media neta por hogar</t>
  </si>
  <si>
    <t xml:space="preserve">Proporción menores 18 años en riesgo pobreza extrema</t>
  </si>
  <si>
    <t xml:space="preserve">Igualdad menores 18 años en riesgo pobreza extrema</t>
  </si>
  <si>
    <t xml:space="preserve">Proporción población total en riesgo pobreza extrema</t>
  </si>
  <si>
    <t xml:space="preserve">Igualdad población en riesgo pobreza extrema </t>
  </si>
  <si>
    <t xml:space="preserve">Proporción Mayores 65 años en riesgo pobreza extrema </t>
  </si>
  <si>
    <t xml:space="preserve">Igualdad población mayor 65 años en riesgo pobreza extrema </t>
  </si>
  <si>
    <t xml:space="preserve">Igualdad en la formación profesional</t>
  </si>
  <si>
    <t xml:space="preserve">Igualdad +25 con estudios secundarios y superiores</t>
  </si>
  <si>
    <t xml:space="preserve">nivel educativo</t>
  </si>
  <si>
    <t xml:space="preserve">Igualdad en nivel educativo estudios primarios</t>
  </si>
  <si>
    <t xml:space="preserve">Igualdad población ocupada</t>
  </si>
  <si>
    <t xml:space="preserve">Tiempo de ocupación</t>
  </si>
  <si>
    <t xml:space="preserve">Igualdad en el tiempo de ocupación</t>
  </si>
  <si>
    <t xml:space="preserve">Igualdad en el empleo en el sector industrial</t>
  </si>
  <si>
    <t xml:space="preserve">Igualdad en el empleo en el sector de la construcción</t>
  </si>
  <si>
    <t xml:space="preserve">Igualdad en el empleo en el sector servicios</t>
  </si>
  <si>
    <t xml:space="preserve">Proporción Población activa</t>
  </si>
  <si>
    <t xml:space="preserve">Proporción Desempleo</t>
  </si>
  <si>
    <t xml:space="preserve">Igualdad en desempleo</t>
  </si>
  <si>
    <t xml:space="preserve">Proporción personas que viven solas </t>
  </si>
  <si>
    <t xml:space="preserve">Igualdad personas que viven solas </t>
  </si>
  <si>
    <t xml:space="preserve">Igualdad en el grado de participación en las tareas domésticas </t>
  </si>
  <si>
    <t xml:space="preserve">Igualdad en cuidados a menores o personas dependientes dentro del hogar </t>
  </si>
  <si>
    <t xml:space="preserve">Proporción Personas sin apoyo social</t>
  </si>
  <si>
    <t xml:space="preserve">Igualdad personas sin apoyo social </t>
  </si>
  <si>
    <t xml:space="preserve">Proporción personas en establecimientos colectivos (residenciales, de discapacidad, asistencia social, etc)</t>
  </si>
  <si>
    <t xml:space="preserve">Igualdad personas en establecimientos colectivos (residenciales, de discapacidad, asistencia social, etc) </t>
  </si>
  <si>
    <t xml:space="preserve">Dispositivos de atención primaria</t>
  </si>
  <si>
    <t xml:space="preserve">Dispositivos de atención especializada (camas)</t>
  </si>
  <si>
    <t xml:space="preserve">Delitos por acoso sexual</t>
  </si>
  <si>
    <t xml:space="preserve">Proporción Acceso a smartphone</t>
  </si>
  <si>
    <t xml:space="preserve">Igualdad en el acceso a smartphone</t>
  </si>
  <si>
    <t xml:space="preserve">Igualdad en el acceso a internet</t>
  </si>
  <si>
    <t xml:space="preserve">Proporción Hogares que sufren contaminación y otros problemas ambientales</t>
  </si>
  <si>
    <t xml:space="preserve">año construcción vivienda</t>
  </si>
  <si>
    <t xml:space="preserve">personas convivientes y superficie vivienda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</si>
  <si>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</si>
  <si>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</si>
  <si>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</si>
  <si>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</si>
  <si>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</si>
  <si>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</si>
  <si>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</si>
  <si>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</si>
  <si>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</si>
  <si>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</si>
  <si>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</si>
  <si>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</si>
  <si>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</si>
  <si>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</si>
  <si>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</si>
  <si>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</si>
  <si>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</si>
  <si>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</si>
  <si>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</si>
  <si>
    <t xml:space="preserve">PONDERACIÓN</t>
  </si>
  <si>
    <t xml:space="preserve">Unidad territorial</t>
  </si>
  <si>
    <t xml:space="preserve">Riesgo de incendios</t>
  </si>
  <si>
    <t xml:space="preserve">Indice ClimaGen</t>
  </si>
  <si>
    <t xml:space="preserve">DATOS CAMBIO CLIMÁTICO</t>
  </si>
  <si>
    <t xml:space="preserve">ESCENARIO 4.5</t>
  </si>
  <si>
    <t xml:space="preserve">ESCENARIO 8.5</t>
  </si>
  <si>
    <t xml:space="preserve">ÍNDICE CLIMA-GEN SIN CAMBIO CLIMÁTICO</t>
  </si>
  <si>
    <t xml:space="preserve">ICC 2040 4.5</t>
  </si>
  <si>
    <t xml:space="preserve">ICC 2070 4.5</t>
  </si>
  <si>
    <t xml:space="preserve">ICC 2100 4.5</t>
  </si>
  <si>
    <t xml:space="preserve">ICC 2040 8.5</t>
  </si>
  <si>
    <t xml:space="preserve">ICC 2070 8.5</t>
  </si>
  <si>
    <t xml:space="preserve">ICC 2100 8.5</t>
  </si>
  <si>
    <t xml:space="preserve">CLIMA-GEN + CAMBIO CLIMÁTICO 2040 4.5</t>
  </si>
  <si>
    <t xml:space="preserve">CLIMA-GEN + CAMBIO CLIMÁTICO 2070 4.5</t>
  </si>
  <si>
    <t xml:space="preserve">CLIMA-GEN + CAMBIO CLIMÁTICO 2100 4.5</t>
  </si>
  <si>
    <t xml:space="preserve">CLIMA-GEN + CAMBIO CLIMÁTICO 2040 8.5</t>
  </si>
  <si>
    <t xml:space="preserve">CLIMA-GEN + CAMBIO CLIMÁTICO 2070 8.5</t>
  </si>
  <si>
    <t xml:space="preserve">CLIMA-GEN + CAMBIO CLIMÁTICO 2100 8.5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</si>
</sst>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b val="true"/>
      <sz val="11"/>
      <color rgb="FF000000"/>
      <name val="Aptos Narrow"/>
      <family val="0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89BEBA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D86ECC"/>
        <bgColor rgb="FFCC99FF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86E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9BEBA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0" activeCellId="0" sqref="F20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8.43"/>
    <col collapsed="false" customWidth="true" hidden="false" outlineLevel="0" max="51" min="51" style="0" width="18.14"/>
  </cols>
  <sheetData>
    <row r="1" customFormat="false" ht="180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3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</row>
    <row r="2" customFormat="false" ht="15" hidden="false" customHeight="false" outlineLevel="0" collapsed="false">
      <c r="A2" s="4" t="s">
        <v>56</v>
      </c>
      <c r="B2" s="5" t="n">
        <v>6.409939807</v>
      </c>
      <c r="C2" s="5" t="n">
        <v>14.04816044</v>
      </c>
      <c r="D2" s="5" t="n">
        <v>34.10396274</v>
      </c>
      <c r="E2" s="5" t="n">
        <v>43.28358209</v>
      </c>
      <c r="F2" s="6" t="n">
        <v>82.53968254</v>
      </c>
      <c r="G2" s="0" t="n">
        <v>68.8492962</v>
      </c>
      <c r="H2" s="0" t="n">
        <v>40.1077239202272</v>
      </c>
      <c r="I2" s="0" t="n">
        <v>71.0872336312674</v>
      </c>
      <c r="J2" s="0" t="n">
        <v>41.1170830935194</v>
      </c>
      <c r="K2" s="0" t="n">
        <v>46.4567759086631</v>
      </c>
      <c r="L2" s="0" t="n">
        <v>45.5699119190853</v>
      </c>
      <c r="M2" s="0" t="n">
        <v>38.5776911836337</v>
      </c>
      <c r="N2" s="0" t="n">
        <v>26.9552447675426</v>
      </c>
      <c r="O2" s="0" t="n">
        <v>33.8969349210944</v>
      </c>
      <c r="P2" s="0" t="n">
        <v>36.33880267</v>
      </c>
      <c r="Q2" s="0" t="n">
        <f aca="false">ABS(100-P2)</f>
        <v>63.66119733</v>
      </c>
      <c r="R2" s="0" t="n">
        <v>5.88235294117648</v>
      </c>
      <c r="S2" s="0" t="n">
        <v>61.875</v>
      </c>
      <c r="T2" s="0" t="n">
        <v>96.849950780481</v>
      </c>
      <c r="U2" s="0" t="n">
        <v>89.2333419089272</v>
      </c>
      <c r="V2" s="0" t="n">
        <v>50.5494505494506</v>
      </c>
      <c r="W2" s="0" t="n">
        <v>14.522417153996</v>
      </c>
      <c r="X2" s="0" t="n">
        <v>57.6271186440678</v>
      </c>
      <c r="Y2" s="0" t="n">
        <v>31.2500000000001</v>
      </c>
      <c r="Z2" s="0" t="n">
        <v>29.5238095238095</v>
      </c>
      <c r="AA2" s="0" t="n">
        <v>34.4232477475573</v>
      </c>
      <c r="AB2" s="0" t="n">
        <v>16.4356691873171</v>
      </c>
      <c r="AC2" s="0" t="n">
        <v>25.0026125187632</v>
      </c>
      <c r="AD2" s="0" t="n">
        <v>49.8366755353365</v>
      </c>
      <c r="AE2" s="0" t="n">
        <v>23.4143755424389</v>
      </c>
      <c r="AF2" s="0" t="n">
        <v>66.3874452150014</v>
      </c>
      <c r="AG2" s="6" t="n">
        <v>62.20267236</v>
      </c>
      <c r="AH2" s="0" t="n">
        <v>65.296129043581</v>
      </c>
      <c r="AI2" s="0" t="n">
        <v>47.8370249445271</v>
      </c>
      <c r="AJ2" s="0" t="n">
        <v>39.8029556650247</v>
      </c>
      <c r="AK2" s="0" t="n">
        <v>42.4738737020933</v>
      </c>
      <c r="AL2" s="0" t="n">
        <v>62.2019635343619</v>
      </c>
      <c r="AM2" s="0" t="n">
        <v>48.2233502538071</v>
      </c>
      <c r="AN2" s="0" t="n">
        <v>55.0484301178793</v>
      </c>
      <c r="AO2" s="0" t="n">
        <v>41.8667187420545</v>
      </c>
      <c r="AP2" s="0" t="n">
        <v>15.5637355382396</v>
      </c>
      <c r="AQ2" s="0" t="n">
        <v>62.2538062950435</v>
      </c>
      <c r="AR2" s="0" t="n">
        <v>41.2601368462244</v>
      </c>
      <c r="AS2" s="0" t="n">
        <v>20.5532803942254</v>
      </c>
      <c r="AT2" s="0" t="n">
        <v>68.9736565181129</v>
      </c>
      <c r="AU2" s="0" t="n">
        <v>0</v>
      </c>
      <c r="AV2" s="0" t="n">
        <v>9.05881856207926</v>
      </c>
      <c r="AW2" s="0" t="n">
        <v>83.0452543903241</v>
      </c>
      <c r="AX2" s="0" t="n">
        <v>97.6374155878398</v>
      </c>
      <c r="AY2" s="0" t="n">
        <v>51.14869166</v>
      </c>
      <c r="AZ2" s="0" t="n">
        <v>45.2068846474267</v>
      </c>
      <c r="BA2" s="0" t="n">
        <v>39.1076233850719</v>
      </c>
      <c r="BB2" s="0" t="n">
        <v>44.1724612002097</v>
      </c>
      <c r="BC2" s="0" t="n">
        <v>43.2835820895522</v>
      </c>
      <c r="BD2" s="0" t="n">
        <v>11.8141429775575</v>
      </c>
      <c r="BE2" s="0" t="n">
        <v>41.92996972</v>
      </c>
    </row>
    <row r="3" customFormat="false" ht="15" hidden="false" customHeight="false" outlineLevel="0" collapsed="false">
      <c r="A3" s="4" t="s">
        <v>57</v>
      </c>
      <c r="B3" s="5" t="n">
        <v>5.904445046</v>
      </c>
      <c r="C3" s="5" t="n">
        <v>33.73992652</v>
      </c>
      <c r="D3" s="5" t="n">
        <v>100</v>
      </c>
      <c r="E3" s="5" t="n">
        <v>24.62686567</v>
      </c>
      <c r="F3" s="6" t="n">
        <v>44.44444444</v>
      </c>
      <c r="G3" s="0" t="n">
        <v>92.242466961</v>
      </c>
      <c r="H3" s="0" t="n">
        <v>30.4124126617955</v>
      </c>
      <c r="I3" s="0" t="n">
        <v>86.2471770434392</v>
      </c>
      <c r="J3" s="0" t="n">
        <v>63.2719235263646</v>
      </c>
      <c r="K3" s="0" t="n">
        <v>47.765770698676</v>
      </c>
      <c r="L3" s="0" t="n">
        <v>31.0335494564994</v>
      </c>
      <c r="M3" s="0" t="n">
        <v>66.7803214807598</v>
      </c>
      <c r="N3" s="0" t="n">
        <v>16.040554409238</v>
      </c>
      <c r="O3" s="0" t="n">
        <v>34.3484229063444</v>
      </c>
      <c r="P3" s="0" t="n">
        <v>89.5181355</v>
      </c>
      <c r="Q3" s="0" t="n">
        <f aca="false">ABS(100-P3)</f>
        <v>10.4818645</v>
      </c>
      <c r="R3" s="0" t="n">
        <v>5.88235294117648</v>
      </c>
      <c r="S3" s="0" t="n">
        <v>17.8125</v>
      </c>
      <c r="T3" s="0" t="n">
        <v>46.842919420616</v>
      </c>
      <c r="U3" s="0" t="n">
        <v>47.1186004630821</v>
      </c>
      <c r="V3" s="0" t="n">
        <v>20.3296703296703</v>
      </c>
      <c r="W3" s="0" t="n">
        <v>21.5942028985506</v>
      </c>
      <c r="X3" s="0" t="n">
        <v>16.1016949152542</v>
      </c>
      <c r="Y3" s="0" t="n">
        <v>76.086956521739</v>
      </c>
      <c r="Z3" s="0" t="n">
        <v>9.52380952380952</v>
      </c>
      <c r="AA3" s="0" t="n">
        <v>81.4632206759444</v>
      </c>
      <c r="AB3" s="0" t="n">
        <v>69.9399552380137</v>
      </c>
      <c r="AC3" s="0" t="n">
        <v>27.277292501731</v>
      </c>
      <c r="AD3" s="0" t="n">
        <v>21.8161015993239</v>
      </c>
      <c r="AE3" s="0" t="n">
        <v>47.6257232450554</v>
      </c>
      <c r="AF3" s="0" t="n">
        <v>63.2119960027277</v>
      </c>
      <c r="AG3" s="6" t="n">
        <v>42.54171742</v>
      </c>
      <c r="AH3" s="0" t="n">
        <v>81.1652017369095</v>
      </c>
      <c r="AI3" s="0" t="n">
        <v>24.8644694397774</v>
      </c>
      <c r="AJ3" s="0" t="n">
        <v>5.26965829559492</v>
      </c>
      <c r="AK3" s="0" t="n">
        <v>66.0557964014178</v>
      </c>
      <c r="AL3" s="0" t="n">
        <v>53.6465638148668</v>
      </c>
      <c r="AM3" s="0" t="n">
        <v>14.0609137055838</v>
      </c>
      <c r="AN3" s="0" t="n">
        <v>71.9748133074742</v>
      </c>
      <c r="AO3" s="0" t="n">
        <v>70.2453019838809</v>
      </c>
      <c r="AP3" s="0" t="n">
        <v>24.7384251789886</v>
      </c>
      <c r="AQ3" s="0" t="n">
        <v>44.2147331151646</v>
      </c>
      <c r="AR3" s="0" t="n">
        <v>37.2398081357445</v>
      </c>
      <c r="AS3" s="0" t="n">
        <v>27.3151400335964</v>
      </c>
      <c r="AT3" s="0" t="n">
        <v>77.4433145872292</v>
      </c>
      <c r="AU3" s="0" t="n">
        <v>64.2775320545767</v>
      </c>
      <c r="AV3" s="0" t="n">
        <v>20.6839533931144</v>
      </c>
      <c r="AW3" s="0" t="n">
        <v>0</v>
      </c>
      <c r="AX3" s="0" t="n">
        <v>16.4079013889664</v>
      </c>
      <c r="AY3" s="0" t="n">
        <v>39.86129087</v>
      </c>
      <c r="AZ3" s="0" t="n">
        <v>46.7465865059485</v>
      </c>
      <c r="BA3" s="0" t="n">
        <v>42.960027070019</v>
      </c>
      <c r="BB3" s="0" t="n">
        <v>48.8909084613703</v>
      </c>
      <c r="BC3" s="0" t="n">
        <v>24.6268656716418</v>
      </c>
      <c r="BD3" s="0" t="n">
        <v>59.8339046713163</v>
      </c>
      <c r="BE3" s="0" t="n">
        <v>31.34768278</v>
      </c>
    </row>
    <row r="4" customFormat="false" ht="15" hidden="false" customHeight="false" outlineLevel="0" collapsed="false">
      <c r="A4" s="4" t="s">
        <v>58</v>
      </c>
      <c r="B4" s="5" t="n">
        <v>25.9363121</v>
      </c>
      <c r="C4" s="5" t="n">
        <v>37.66903987</v>
      </c>
      <c r="D4" s="5" t="n">
        <v>53.27593086</v>
      </c>
      <c r="E4" s="5" t="n">
        <v>76.86567164</v>
      </c>
      <c r="F4" s="6" t="n">
        <v>28.57142857</v>
      </c>
      <c r="G4" s="0" t="n">
        <v>23.83639817</v>
      </c>
      <c r="H4" s="0" t="n">
        <v>0</v>
      </c>
      <c r="I4" s="0" t="n">
        <v>66.5748820139443</v>
      </c>
      <c r="J4" s="0" t="n">
        <v>100</v>
      </c>
      <c r="K4" s="0" t="n">
        <v>83.1879819401979</v>
      </c>
      <c r="L4" s="0" t="n">
        <v>100</v>
      </c>
      <c r="M4" s="0" t="n">
        <v>99.7564539698003</v>
      </c>
      <c r="N4" s="0" t="n">
        <v>78.1602876054284</v>
      </c>
      <c r="O4" s="0" t="n">
        <v>68.486567532068</v>
      </c>
      <c r="P4" s="0" t="n">
        <v>6.53760229</v>
      </c>
      <c r="Q4" s="0" t="n">
        <f aca="false">ABS(100-P4)</f>
        <v>93.46239771</v>
      </c>
      <c r="R4" s="0" t="n">
        <v>5.88235294117648</v>
      </c>
      <c r="S4" s="0" t="n">
        <v>19.375</v>
      </c>
      <c r="T4" s="0" t="n">
        <v>40.4584446631979</v>
      </c>
      <c r="U4" s="0" t="n">
        <v>58.56058657062</v>
      </c>
      <c r="V4" s="0" t="n">
        <v>37.3626373626373</v>
      </c>
      <c r="W4" s="0" t="n">
        <v>51.3793103448278</v>
      </c>
      <c r="X4" s="0" t="n">
        <v>27.9661016949152</v>
      </c>
      <c r="Y4" s="0" t="n">
        <v>82.3170731707318</v>
      </c>
      <c r="Z4" s="0" t="n">
        <v>11.4285714285714</v>
      </c>
      <c r="AA4" s="0" t="n">
        <v>100</v>
      </c>
      <c r="AB4" s="0" t="n">
        <v>77.0424554415697</v>
      </c>
      <c r="AC4" s="0" t="n">
        <v>53.9534350645579</v>
      </c>
      <c r="AD4" s="0" t="n">
        <v>25.6176268925409</v>
      </c>
      <c r="AE4" s="0" t="n">
        <v>100</v>
      </c>
      <c r="AF4" s="0" t="n">
        <v>19.3279164578498</v>
      </c>
      <c r="AG4" s="6" t="n">
        <v>62.35295334</v>
      </c>
      <c r="AH4" s="0" t="n">
        <v>34.8275970079385</v>
      </c>
      <c r="AI4" s="0" t="n">
        <v>76.2600696186696</v>
      </c>
      <c r="AJ4" s="0" t="n">
        <v>45.3781512605042</v>
      </c>
      <c r="AK4" s="0" t="n">
        <v>71.3687345725688</v>
      </c>
      <c r="AL4" s="0" t="n">
        <v>100</v>
      </c>
      <c r="AM4" s="0" t="n">
        <v>16.5482233502538</v>
      </c>
      <c r="AN4" s="0" t="n">
        <v>31.0219778925445</v>
      </c>
      <c r="AO4" s="0" t="n">
        <v>100</v>
      </c>
      <c r="AP4" s="0" t="n">
        <v>58.7483584275838</v>
      </c>
      <c r="AQ4" s="0" t="n">
        <v>40.3203640283585</v>
      </c>
      <c r="AR4" s="0" t="n">
        <v>14.80907929364</v>
      </c>
      <c r="AS4" s="0" t="n">
        <v>40.9034353700678</v>
      </c>
      <c r="AT4" s="0" t="n">
        <v>69.3415229618873</v>
      </c>
      <c r="AU4" s="0" t="n">
        <v>16.9124419433067</v>
      </c>
      <c r="AV4" s="0" t="n">
        <v>29.1161037712011</v>
      </c>
      <c r="AW4" s="0" t="n">
        <v>78.1939509692617</v>
      </c>
      <c r="AX4" s="0" t="n">
        <v>14.0062645765958</v>
      </c>
      <c r="AY4" s="0" t="n">
        <v>30.5257327</v>
      </c>
      <c r="AZ4" s="0" t="n">
        <v>71.934712593778</v>
      </c>
      <c r="BA4" s="0" t="n">
        <v>40.5309930994301</v>
      </c>
      <c r="BB4" s="0" t="n">
        <v>62.7079261337875</v>
      </c>
      <c r="BC4" s="0" t="n">
        <v>76.865671641791</v>
      </c>
      <c r="BD4" s="0" t="n">
        <v>60.2352831188457</v>
      </c>
      <c r="BE4" s="0" t="n">
        <v>32.61938743</v>
      </c>
    </row>
    <row r="5" customFormat="false" ht="15" hidden="false" customHeight="false" outlineLevel="0" collapsed="false">
      <c r="A5" s="4" t="s">
        <v>59</v>
      </c>
      <c r="B5" s="5" t="n">
        <v>0</v>
      </c>
      <c r="C5" s="5" t="n">
        <v>0</v>
      </c>
      <c r="D5" s="5" t="n">
        <v>31.91467404</v>
      </c>
      <c r="E5" s="5" t="n">
        <v>35.07462687</v>
      </c>
      <c r="F5" s="6" t="n">
        <v>0</v>
      </c>
      <c r="G5" s="0" t="n">
        <v>82.81108446</v>
      </c>
      <c r="H5" s="0" t="n">
        <v>35.9158747135381</v>
      </c>
      <c r="I5" s="0" t="n">
        <v>88.0726888046238</v>
      </c>
      <c r="J5" s="0" t="n">
        <v>26.546263205605</v>
      </c>
      <c r="K5" s="0" t="n">
        <v>38.5060653683401</v>
      </c>
      <c r="L5" s="0" t="n">
        <v>22.7250447865696</v>
      </c>
      <c r="M5" s="0" t="n">
        <v>8.47540185094981</v>
      </c>
      <c r="N5" s="0" t="n">
        <v>0</v>
      </c>
      <c r="O5" s="0" t="n">
        <v>22.1880973477138</v>
      </c>
      <c r="P5" s="0" t="n">
        <v>24.013338</v>
      </c>
      <c r="Q5" s="0" t="n">
        <f aca="false">ABS(100-P5)</f>
        <v>75.986662</v>
      </c>
      <c r="R5" s="0" t="n">
        <v>5.88235294117648</v>
      </c>
      <c r="S5" s="0" t="n">
        <v>5.9375</v>
      </c>
      <c r="T5" s="0" t="n">
        <v>44.3256925889467</v>
      </c>
      <c r="U5" s="0" t="n">
        <v>17.0890146642655</v>
      </c>
      <c r="V5" s="0" t="n">
        <v>8.79120879120879</v>
      </c>
      <c r="W5" s="0" t="n">
        <v>0</v>
      </c>
      <c r="X5" s="0" t="n">
        <v>11.0169491525424</v>
      </c>
      <c r="Y5" s="0" t="n">
        <v>0</v>
      </c>
      <c r="Z5" s="0" t="n">
        <v>15.2380952380952</v>
      </c>
      <c r="AA5" s="0" t="n">
        <v>0</v>
      </c>
      <c r="AB5" s="0" t="n">
        <v>16.3200312937615</v>
      </c>
      <c r="AC5" s="0" t="n">
        <v>5.143287735334</v>
      </c>
      <c r="AD5" s="0" t="n">
        <v>14.2767197499232</v>
      </c>
      <c r="AE5" s="0" t="n">
        <v>17.3333383809844</v>
      </c>
      <c r="AF5" s="0" t="n">
        <v>48.5426380443309</v>
      </c>
      <c r="AG5" s="6" t="n">
        <v>0</v>
      </c>
      <c r="AH5" s="0" t="n">
        <v>26.0571926388499</v>
      </c>
      <c r="AI5" s="0" t="n">
        <v>41.1595780125921</v>
      </c>
      <c r="AJ5" s="0" t="n">
        <v>43.688470794137</v>
      </c>
      <c r="AK5" s="0" t="n">
        <v>32.867567225017</v>
      </c>
      <c r="AL5" s="0" t="n">
        <v>0</v>
      </c>
      <c r="AM5" s="0" t="n">
        <v>0</v>
      </c>
      <c r="AN5" s="0" t="n">
        <v>8.25510750371019</v>
      </c>
      <c r="AO5" s="0" t="n">
        <v>45.4353940967379</v>
      </c>
      <c r="AP5" s="0" t="n">
        <v>29.2134561527189</v>
      </c>
      <c r="AQ5" s="0" t="n">
        <v>38.2396905673719</v>
      </c>
      <c r="AR5" s="0" t="n">
        <v>23.0228550769421</v>
      </c>
      <c r="AS5" s="0" t="n">
        <v>59.839847866972</v>
      </c>
      <c r="AT5" s="0" t="n">
        <v>11.021482694311</v>
      </c>
      <c r="AU5" s="0" t="n">
        <v>36.9370858272157</v>
      </c>
      <c r="AV5" s="0" t="n">
        <v>25.9066250563691</v>
      </c>
      <c r="AW5" s="0" t="n">
        <v>89.6536649553192</v>
      </c>
      <c r="AX5" s="0" t="n">
        <v>86.5446822687922</v>
      </c>
      <c r="AY5" s="0" t="n">
        <v>100</v>
      </c>
      <c r="AZ5" s="0" t="n">
        <v>16.252508338621</v>
      </c>
      <c r="BA5" s="0" t="n">
        <v>94.7665705320652</v>
      </c>
      <c r="BB5" s="0" t="n">
        <v>30.374478641015</v>
      </c>
      <c r="BC5" s="0" t="n">
        <v>35.0746268656716</v>
      </c>
      <c r="BD5" s="0" t="n">
        <v>51.8712709881952</v>
      </c>
      <c r="BE5" s="0" t="n">
        <v>23.31015569</v>
      </c>
    </row>
    <row r="6" customFormat="false" ht="15" hidden="false" customHeight="false" outlineLevel="0" collapsed="false">
      <c r="A6" s="4" t="s">
        <v>60</v>
      </c>
      <c r="B6" s="5"/>
      <c r="C6" s="5" t="n">
        <v>20.54756767</v>
      </c>
      <c r="D6" s="5" t="n">
        <v>80.35831052</v>
      </c>
      <c r="E6" s="5" t="n">
        <v>29.85074627</v>
      </c>
      <c r="F6" s="6" t="n">
        <v>14.28571429</v>
      </c>
      <c r="G6" s="0" t="n">
        <v>71.82208942</v>
      </c>
      <c r="H6" s="0" t="n">
        <v>14.1432280986701</v>
      </c>
      <c r="I6" s="0" t="n">
        <v>89.193424867507</v>
      </c>
      <c r="J6" s="0" t="n">
        <v>35.127258843975</v>
      </c>
      <c r="K6" s="0" t="n">
        <v>29.2498742869986</v>
      </c>
      <c r="L6" s="0" t="n">
        <v>39.9809080646891</v>
      </c>
      <c r="M6" s="0" t="n">
        <v>0</v>
      </c>
      <c r="N6" s="0" t="n">
        <v>17.4779529428409</v>
      </c>
      <c r="O6" s="0" t="n">
        <v>56.9253442990877</v>
      </c>
      <c r="P6" s="0" t="n">
        <v>22.2252996</v>
      </c>
      <c r="Q6" s="0" t="n">
        <f aca="false">ABS(100-P6)</f>
        <v>77.7747004</v>
      </c>
      <c r="R6" s="0" t="n">
        <v>11.764705882353</v>
      </c>
      <c r="S6" s="0" t="n">
        <v>47.5</v>
      </c>
      <c r="T6" s="0" t="n">
        <v>80.2418787793559</v>
      </c>
      <c r="U6" s="0" t="n">
        <v>64.7671726267044</v>
      </c>
      <c r="V6" s="0" t="n">
        <v>32.4175824175824</v>
      </c>
      <c r="W6" s="0" t="n">
        <v>17.995169082126</v>
      </c>
      <c r="X6" s="0" t="n">
        <v>45.7627118644068</v>
      </c>
      <c r="Y6" s="0" t="n">
        <v>50.4807692307692</v>
      </c>
      <c r="Z6" s="0" t="n">
        <v>58.0952380952381</v>
      </c>
      <c r="AA6" s="0" t="n">
        <v>27.9125248508947</v>
      </c>
      <c r="AB6" s="0" t="n">
        <v>0</v>
      </c>
      <c r="AC6" s="0" t="n">
        <v>0</v>
      </c>
      <c r="AD6" s="0" t="n">
        <v>50.0403442529883</v>
      </c>
      <c r="AE6" s="0" t="n">
        <v>0</v>
      </c>
      <c r="AF6" s="0" t="n">
        <v>40.6345128236498</v>
      </c>
      <c r="AG6" s="6" t="n">
        <v>14.10428481</v>
      </c>
      <c r="AH6" s="0" t="n">
        <v>12.4146780819148</v>
      </c>
      <c r="AI6" s="0" t="n">
        <v>31.6514466605005</v>
      </c>
      <c r="AJ6" s="0" t="n">
        <v>57.3417301955585</v>
      </c>
      <c r="AK6" s="0" t="n">
        <v>17.6877621144114</v>
      </c>
      <c r="AL6" s="0" t="n">
        <v>49.1584852734923</v>
      </c>
      <c r="AM6" s="0" t="n">
        <v>44.7715736040609</v>
      </c>
      <c r="AN6" s="0" t="n">
        <v>29.8088141744159</v>
      </c>
      <c r="AO6" s="0" t="n">
        <v>42.6454444808168</v>
      </c>
      <c r="AP6" s="0" t="n">
        <v>27.0176262010381</v>
      </c>
      <c r="AQ6" s="0" t="n">
        <v>0</v>
      </c>
      <c r="AR6" s="0" t="n">
        <v>21.8799139336371</v>
      </c>
      <c r="AS6" s="0" t="n">
        <v>100</v>
      </c>
      <c r="AT6" s="0" t="n">
        <v>66.5668233326769</v>
      </c>
      <c r="AU6" s="0" t="n">
        <v>2.60579205420211</v>
      </c>
      <c r="AV6" s="0" t="n">
        <v>32.2643049422332</v>
      </c>
      <c r="AW6" s="0" t="n">
        <v>91.5489207522094</v>
      </c>
      <c r="AX6" s="0" t="n">
        <v>78.8548108480705</v>
      </c>
      <c r="AY6" s="0" t="n">
        <v>69.52515413</v>
      </c>
      <c r="AZ6" s="0" t="n">
        <v>36.7659297350569</v>
      </c>
      <c r="BA6" s="0" t="n">
        <v>0</v>
      </c>
      <c r="BB6" s="0" t="n">
        <v>0</v>
      </c>
      <c r="BC6" s="0" t="n">
        <v>29.8507462686567</v>
      </c>
      <c r="BD6" s="0" t="n">
        <v>0</v>
      </c>
      <c r="BE6" s="0" t="n">
        <v>46.53908928</v>
      </c>
    </row>
    <row r="7" customFormat="false" ht="15" hidden="false" customHeight="false" outlineLevel="0" collapsed="false">
      <c r="A7" s="4" t="s">
        <v>61</v>
      </c>
      <c r="B7" s="5" t="n">
        <v>47.66936197</v>
      </c>
      <c r="C7" s="5"/>
      <c r="D7" s="5" t="n">
        <v>62.19720017</v>
      </c>
      <c r="E7" s="5" t="n">
        <v>14.92537313</v>
      </c>
      <c r="F7" s="6" t="n">
        <v>11.11111111</v>
      </c>
      <c r="G7" s="0" t="n">
        <v>69.94847403</v>
      </c>
      <c r="H7" s="0" t="n">
        <v>16.0484900554154</v>
      </c>
      <c r="I7" s="0" t="n">
        <v>78.4057544992701</v>
      </c>
      <c r="J7" s="0" t="n">
        <v>75.4928693187208</v>
      </c>
      <c r="K7" s="0" t="n">
        <v>62.2864144107926</v>
      </c>
      <c r="L7" s="0" t="n">
        <v>74.2927613783676</v>
      </c>
      <c r="M7" s="0" t="n">
        <v>72.8689722357525</v>
      </c>
      <c r="N7" s="0" t="n">
        <v>78.8217250775237</v>
      </c>
      <c r="O7" s="0" t="n">
        <v>11.6540146974403</v>
      </c>
      <c r="P7" s="0" t="n">
        <v>2.09155146000001</v>
      </c>
      <c r="Q7" s="0" t="n">
        <f aca="false">ABS(100-P7)</f>
        <v>97.90844854</v>
      </c>
      <c r="R7" s="0" t="n">
        <v>0</v>
      </c>
      <c r="S7" s="0" t="n">
        <v>24.6875</v>
      </c>
      <c r="T7" s="0" t="n">
        <v>61.4540852200816</v>
      </c>
      <c r="U7" s="0" t="n">
        <v>62.6447131463854</v>
      </c>
      <c r="V7" s="0" t="n">
        <v>22.5274725274725</v>
      </c>
      <c r="W7" s="0" t="n">
        <v>41.0468319559228</v>
      </c>
      <c r="X7" s="0" t="n">
        <v>22.0338983050847</v>
      </c>
      <c r="Y7" s="0" t="n">
        <v>100</v>
      </c>
      <c r="Z7" s="0" t="n">
        <v>15.2380952380952</v>
      </c>
      <c r="AA7" s="0" t="n">
        <v>85.2882703777336</v>
      </c>
      <c r="AB7" s="0" t="n">
        <v>35.1653676530365</v>
      </c>
      <c r="AC7" s="0" t="n">
        <v>33.3228385621961</v>
      </c>
      <c r="AD7" s="0" t="n">
        <v>1.85833469439302</v>
      </c>
      <c r="AE7" s="0" t="n">
        <v>92.7431374727046</v>
      </c>
      <c r="AF7" s="0" t="n">
        <v>37.5710986102902</v>
      </c>
      <c r="AG7" s="6" t="n">
        <v>38.35432605</v>
      </c>
      <c r="AH7" s="0" t="n">
        <v>76.2622571076028</v>
      </c>
      <c r="AI7" s="0" t="n">
        <v>52.9290609602739</v>
      </c>
      <c r="AJ7" s="0" t="n">
        <v>26.2458471760798</v>
      </c>
      <c r="AK7" s="0" t="n">
        <v>67.3847825549498</v>
      </c>
      <c r="AL7" s="0" t="n">
        <v>74.7545582047686</v>
      </c>
      <c r="AM7" s="0" t="n">
        <v>9.39086294416244</v>
      </c>
      <c r="AN7" s="0" t="n">
        <v>14.0680194185631</v>
      </c>
      <c r="AO7" s="0" t="n">
        <v>73.4919365755865</v>
      </c>
      <c r="AP7" s="0" t="n">
        <v>28.4725910850317</v>
      </c>
      <c r="AQ7" s="0" t="n">
        <v>39.2428420635435</v>
      </c>
      <c r="AR7" s="0" t="n">
        <v>38.2014840273668</v>
      </c>
      <c r="AS7" s="0" t="n">
        <v>79.0124762272215</v>
      </c>
      <c r="AT7" s="0" t="n">
        <v>81.0486112947489</v>
      </c>
      <c r="AU7" s="0" t="n">
        <v>46.8435343883977</v>
      </c>
      <c r="AV7" s="0" t="n">
        <v>38.936597180163</v>
      </c>
      <c r="AW7" s="0" t="n">
        <v>69.3864451444667</v>
      </c>
      <c r="AX7" s="0" t="n">
        <v>20.5598408332807</v>
      </c>
      <c r="AY7" s="0" t="n">
        <v>32.57207324</v>
      </c>
      <c r="AZ7" s="0" t="n">
        <v>68.4704547348738</v>
      </c>
      <c r="BA7" s="0" t="n">
        <v>12.3958443004896</v>
      </c>
      <c r="BB7" s="0" t="n">
        <v>74.1228471167905</v>
      </c>
      <c r="BC7" s="0" t="n">
        <v>14.9253731343284</v>
      </c>
      <c r="BD7" s="0" t="n">
        <v>53.9764564691883</v>
      </c>
      <c r="BE7" s="0" t="n">
        <v>17.57483735</v>
      </c>
    </row>
    <row r="8" customFormat="false" ht="15" hidden="false" customHeight="false" outlineLevel="0" collapsed="false">
      <c r="A8" s="4" t="s">
        <v>62</v>
      </c>
      <c r="B8" s="5" t="n">
        <v>9.826549309</v>
      </c>
      <c r="C8" s="5" t="n">
        <v>1.988321197</v>
      </c>
      <c r="D8" s="5" t="n">
        <v>51.40926341</v>
      </c>
      <c r="E8" s="5" t="n">
        <v>17.1641791</v>
      </c>
      <c r="F8" s="6" t="n">
        <v>30.15873016</v>
      </c>
      <c r="G8" s="0" t="n">
        <v>98.801745751</v>
      </c>
      <c r="H8" s="0" t="n">
        <v>11.1834281122701</v>
      </c>
      <c r="I8" s="0" t="n">
        <v>0</v>
      </c>
      <c r="J8" s="0" t="n">
        <v>92.9449519908989</v>
      </c>
      <c r="K8" s="0" t="n">
        <v>28.386676393183</v>
      </c>
      <c r="L8" s="0" t="n">
        <v>43.335483181198</v>
      </c>
      <c r="M8" s="0" t="n">
        <v>100</v>
      </c>
      <c r="N8" s="0" t="n">
        <v>33.7783014148477</v>
      </c>
      <c r="O8" s="0" t="n">
        <v>41.9460211345904</v>
      </c>
      <c r="P8" s="0" t="n">
        <v>24.53964807</v>
      </c>
      <c r="Q8" s="0" t="n">
        <f aca="false">ABS(100-P8)</f>
        <v>75.46035193</v>
      </c>
      <c r="R8" s="0" t="n">
        <v>5.88235294117648</v>
      </c>
      <c r="S8" s="0" t="n">
        <v>28.4375</v>
      </c>
      <c r="T8" s="0" t="n">
        <v>58.1915342427226</v>
      </c>
      <c r="U8" s="0" t="n">
        <v>72.5109338821713</v>
      </c>
      <c r="V8" s="0" t="n">
        <v>31.3186813186813</v>
      </c>
      <c r="W8" s="0" t="n">
        <v>0</v>
      </c>
      <c r="X8" s="0" t="n">
        <v>22.0338983050847</v>
      </c>
      <c r="Y8" s="0" t="n">
        <v>88.8157894736843</v>
      </c>
      <c r="Z8" s="0" t="n">
        <v>13.3333333333333</v>
      </c>
      <c r="AA8" s="0" t="n">
        <v>92.1187162737859</v>
      </c>
      <c r="AB8" s="0" t="n">
        <v>52.0307038348477</v>
      </c>
      <c r="AC8" s="0" t="n">
        <v>36.8719500733644</v>
      </c>
      <c r="AD8" s="0" t="n">
        <v>43.9198049055534</v>
      </c>
      <c r="AE8" s="0" t="n">
        <v>46.9721012729107</v>
      </c>
      <c r="AF8" s="0" t="n">
        <v>61.6518634005309</v>
      </c>
      <c r="AG8" s="6" t="n">
        <v>49.03241274</v>
      </c>
      <c r="AH8" s="0" t="n">
        <v>100</v>
      </c>
      <c r="AI8" s="0" t="n">
        <v>37.5103425628959</v>
      </c>
      <c r="AJ8" s="0" t="n">
        <v>30.6612601372427</v>
      </c>
      <c r="AK8" s="0" t="n">
        <v>76.2551598459859</v>
      </c>
      <c r="AL8" s="0" t="n">
        <v>82.6086956521739</v>
      </c>
      <c r="AM8" s="0" t="n">
        <v>14.7715736040609</v>
      </c>
      <c r="AN8" s="0" t="n">
        <v>38.9260133084356</v>
      </c>
      <c r="AO8" s="0" t="n">
        <v>90.2561707046335</v>
      </c>
      <c r="AP8" s="0" t="n">
        <v>10.874543978589</v>
      </c>
      <c r="AQ8" s="0" t="n">
        <v>50.9745958323034</v>
      </c>
      <c r="AR8" s="0" t="n">
        <v>31.7476686176747</v>
      </c>
      <c r="AS8" s="0" t="n">
        <v>31.1126061546285</v>
      </c>
      <c r="AT8" s="0" t="n">
        <v>52.0435377143209</v>
      </c>
      <c r="AU8" s="0" t="n">
        <v>53.9853105182203</v>
      </c>
      <c r="AV8" s="0" t="n">
        <v>59.4388230480826</v>
      </c>
      <c r="AW8" s="0" t="n">
        <v>0</v>
      </c>
      <c r="AX8" s="0" t="n">
        <v>37.7868256222437</v>
      </c>
      <c r="AY8" s="0" t="n">
        <v>21.52165715</v>
      </c>
      <c r="AZ8" s="0" t="n">
        <v>81.6117223176802</v>
      </c>
      <c r="BA8" s="0" t="n">
        <v>21.8846425371788</v>
      </c>
      <c r="BB8" s="0" t="n">
        <v>47.5376213903233</v>
      </c>
      <c r="BC8" s="0" t="n">
        <v>17.1641791044776</v>
      </c>
      <c r="BD8" s="0" t="n">
        <v>44.2903040660695</v>
      </c>
      <c r="BE8" s="0" t="n">
        <v>7.89080331</v>
      </c>
    </row>
    <row r="9" customFormat="false" ht="15" hidden="false" customHeight="false" outlineLevel="0" collapsed="false">
      <c r="A9" s="4" t="s">
        <v>63</v>
      </c>
      <c r="B9" s="5" t="n">
        <v>5.100350115</v>
      </c>
      <c r="C9" s="5" t="n">
        <v>13.40464951</v>
      </c>
      <c r="D9" s="5" t="n">
        <v>58.14143751</v>
      </c>
      <c r="E9" s="5" t="n">
        <v>18.65671642</v>
      </c>
      <c r="F9" s="6" t="n">
        <v>36.50793651</v>
      </c>
      <c r="G9" s="0" t="n">
        <v>68.3580829</v>
      </c>
      <c r="H9" s="0" t="n">
        <v>39.169549176164</v>
      </c>
      <c r="I9" s="0" t="n">
        <v>58.0856681303018</v>
      </c>
      <c r="J9" s="0" t="n">
        <v>47.173147913253</v>
      </c>
      <c r="K9" s="0" t="n">
        <v>24.5069944566934</v>
      </c>
      <c r="L9" s="0" t="n">
        <v>8.58269013684188</v>
      </c>
      <c r="M9" s="0" t="n">
        <v>48.0759863614223</v>
      </c>
      <c r="N9" s="0" t="n">
        <v>34.8699905558772</v>
      </c>
      <c r="O9" s="0" t="n">
        <v>0</v>
      </c>
      <c r="P9" s="0" t="n">
        <v>53.07799112</v>
      </c>
      <c r="Q9" s="0" t="n">
        <f aca="false">ABS(100-P9)</f>
        <v>46.92200888</v>
      </c>
      <c r="R9" s="0" t="n">
        <v>11.764705882353</v>
      </c>
      <c r="S9" s="0" t="n">
        <v>56.25</v>
      </c>
      <c r="T9" s="0" t="n">
        <v>94.5155393053016</v>
      </c>
      <c r="U9" s="0" t="n">
        <v>89.3233856444559</v>
      </c>
      <c r="V9" s="0" t="n">
        <v>43.4065934065934</v>
      </c>
      <c r="W9" s="0" t="n">
        <v>31.2368972746334</v>
      </c>
      <c r="X9" s="0" t="n">
        <v>42.3728813559322</v>
      </c>
      <c r="Y9" s="0" t="n">
        <v>36.764705882353</v>
      </c>
      <c r="Z9" s="0" t="n">
        <v>23.8095238095238</v>
      </c>
      <c r="AA9" s="0" t="n">
        <v>63.2206759443341</v>
      </c>
      <c r="AB9" s="0" t="n">
        <v>22.93471727017</v>
      </c>
      <c r="AC9" s="0" t="n">
        <v>43.8058288555279</v>
      </c>
      <c r="AD9" s="0" t="n">
        <v>59.1168731471148</v>
      </c>
      <c r="AE9" s="0" t="n">
        <v>39.8557710138061</v>
      </c>
      <c r="AF9" s="0" t="n">
        <v>97.800696291901</v>
      </c>
      <c r="AG9" s="6" t="n">
        <v>44.04960264</v>
      </c>
      <c r="AH9" s="0" t="n">
        <v>86.8947677504623</v>
      </c>
      <c r="AI9" s="0" t="n">
        <v>14.0163802084258</v>
      </c>
      <c r="AJ9" s="0" t="n">
        <v>53.3988316516198</v>
      </c>
      <c r="AK9" s="0" t="n">
        <v>65.8686827505249</v>
      </c>
      <c r="AL9" s="0" t="n">
        <v>52.875175315568</v>
      </c>
      <c r="AM9" s="0" t="n">
        <v>34.4162436548223</v>
      </c>
      <c r="AN9" s="0" t="n">
        <v>94.8239924586345</v>
      </c>
      <c r="AO9" s="0" t="n">
        <v>45.4984500719543</v>
      </c>
      <c r="AP9" s="0" t="n">
        <v>4.72050611957188</v>
      </c>
      <c r="AQ9" s="0" t="n">
        <v>64.5899255122048</v>
      </c>
      <c r="AR9" s="0" t="n">
        <v>55.2384193148661</v>
      </c>
      <c r="AS9" s="0" t="n">
        <v>82.2618424417437</v>
      </c>
      <c r="AT9" s="0" t="n">
        <v>62.695222805376</v>
      </c>
      <c r="AU9" s="0" t="n">
        <v>8.40860992400707</v>
      </c>
      <c r="AV9" s="0" t="n">
        <v>40.5383392146096</v>
      </c>
      <c r="AW9" s="0" t="n">
        <v>17.0249251614375</v>
      </c>
      <c r="AX9" s="0" t="n">
        <v>72.3527843373955</v>
      </c>
      <c r="AY9" s="0" t="n">
        <v>41.04157516</v>
      </c>
      <c r="AZ9" s="0" t="n">
        <v>63.9814414319717</v>
      </c>
      <c r="BA9" s="0" t="n">
        <v>52.1618837628577</v>
      </c>
      <c r="BB9" s="0" t="n">
        <v>70.7020981722561</v>
      </c>
      <c r="BC9" s="0" t="n">
        <v>18.6567164179104</v>
      </c>
      <c r="BD9" s="0" t="n">
        <v>5.97289011169898</v>
      </c>
      <c r="BE9" s="0" t="n">
        <v>2.75188821</v>
      </c>
    </row>
    <row r="10" customFormat="false" ht="15" hidden="false" customHeight="false" outlineLevel="0" collapsed="false">
      <c r="A10" s="4" t="s">
        <v>64</v>
      </c>
      <c r="B10" s="5" t="n">
        <v>20.26595481</v>
      </c>
      <c r="C10" s="5" t="n">
        <v>11.29206465</v>
      </c>
      <c r="D10" s="5" t="n">
        <v>5.367485043</v>
      </c>
      <c r="E10" s="5" t="n">
        <v>67.1641791</v>
      </c>
      <c r="F10" s="6" t="n">
        <v>6.349206349</v>
      </c>
      <c r="G10" s="0" t="n">
        <v>100</v>
      </c>
      <c r="H10" s="0" t="n">
        <v>35.7269631515578</v>
      </c>
      <c r="I10" s="0" t="n">
        <v>52.6364995741008</v>
      </c>
      <c r="J10" s="0" t="n">
        <v>44.8916841844022</v>
      </c>
      <c r="K10" s="0" t="n">
        <v>68.2982638350925</v>
      </c>
      <c r="L10" s="0" t="n">
        <v>41.1982886622974</v>
      </c>
      <c r="M10" s="0" t="n">
        <v>39.990258158792</v>
      </c>
      <c r="N10" s="0" t="n">
        <v>42.9066266044579</v>
      </c>
      <c r="O10" s="0" t="n">
        <v>9.01740688194543</v>
      </c>
      <c r="P10" s="0" t="n">
        <v>79.66098093</v>
      </c>
      <c r="Q10" s="0" t="n">
        <f aca="false">ABS(100-P10)</f>
        <v>20.33901907</v>
      </c>
      <c r="R10" s="0" t="n">
        <v>17.6470588235294</v>
      </c>
      <c r="S10" s="0" t="n">
        <v>10.9375</v>
      </c>
      <c r="T10" s="0" t="n">
        <v>35.6068063563493</v>
      </c>
      <c r="U10" s="0" t="n">
        <v>18.8448675070749</v>
      </c>
      <c r="V10" s="0" t="n">
        <v>24.1758241758242</v>
      </c>
      <c r="W10" s="0" t="n">
        <v>20.1897018970194</v>
      </c>
      <c r="X10" s="0" t="n">
        <v>19.4915254237288</v>
      </c>
      <c r="Y10" s="0" t="n">
        <v>0</v>
      </c>
      <c r="Z10" s="0" t="n">
        <v>4.76190476190476</v>
      </c>
      <c r="AA10" s="0" t="n">
        <v>37.4751491053678</v>
      </c>
      <c r="AB10" s="0" t="n">
        <v>35.7230051908037</v>
      </c>
      <c r="AC10" s="0" t="n">
        <v>19.7330821609134</v>
      </c>
      <c r="AD10" s="0" t="n">
        <v>16.093311855323</v>
      </c>
      <c r="AE10" s="0" t="n">
        <v>40.8426696249492</v>
      </c>
      <c r="AF10" s="0" t="n">
        <v>45.6406615523527</v>
      </c>
      <c r="AG10" s="6" t="n">
        <v>32.02559275</v>
      </c>
      <c r="AH10" s="0" t="n">
        <v>30.1721643297919</v>
      </c>
      <c r="AI10" s="0" t="n">
        <v>10.8376910357327</v>
      </c>
      <c r="AJ10" s="0" t="n">
        <v>52.7845036319613</v>
      </c>
      <c r="AK10" s="0" t="n">
        <v>40.0625299460143</v>
      </c>
      <c r="AL10" s="0" t="n">
        <v>31.9074333800842</v>
      </c>
      <c r="AM10" s="0" t="n">
        <v>12.2335025380711</v>
      </c>
      <c r="AN10" s="0" t="n">
        <v>22.2825389818983</v>
      </c>
      <c r="AO10" s="0" t="n">
        <v>54.6935382437601</v>
      </c>
      <c r="AP10" s="0" t="n">
        <v>57.1744026258533</v>
      </c>
      <c r="AQ10" s="0" t="n">
        <v>16.9816385066019</v>
      </c>
      <c r="AR10" s="0" t="n">
        <v>19.0126738838471</v>
      </c>
      <c r="AS10" s="0" t="n">
        <v>56.1485768476861</v>
      </c>
      <c r="AT10" s="0" t="n">
        <v>100</v>
      </c>
      <c r="AU10" s="0" t="n">
        <v>66.2453094950565</v>
      </c>
      <c r="AV10" s="0" t="n">
        <v>11.7212390033443</v>
      </c>
      <c r="AW10" s="0" t="n">
        <v>86.4201500363951</v>
      </c>
      <c r="AX10" s="0" t="n">
        <v>0.679189999585631</v>
      </c>
      <c r="AY10" s="0" t="n">
        <v>0</v>
      </c>
      <c r="AZ10" s="0" t="n">
        <v>17.7071970547854</v>
      </c>
      <c r="BA10" s="0" t="n">
        <v>86.1937127304025</v>
      </c>
      <c r="BB10" s="0" t="n">
        <v>71.1371912949957</v>
      </c>
      <c r="BC10" s="0" t="n">
        <v>67.1641791044776</v>
      </c>
      <c r="BD10" s="0" t="n">
        <v>64.3833538959761</v>
      </c>
      <c r="BE10" s="0" t="n">
        <v>47.81349839</v>
      </c>
    </row>
    <row r="11" customFormat="false" ht="15" hidden="false" customHeight="false" outlineLevel="0" collapsed="false">
      <c r="A11" s="4" t="s">
        <v>65</v>
      </c>
      <c r="B11" s="5" t="n">
        <v>20.38594545</v>
      </c>
      <c r="C11" s="5" t="n">
        <v>79.20383003</v>
      </c>
      <c r="D11" s="5" t="n">
        <v>21.25656931</v>
      </c>
      <c r="E11" s="5" t="n">
        <v>47.76119403</v>
      </c>
      <c r="F11" s="6" t="n">
        <v>20.63492063</v>
      </c>
      <c r="G11" s="0" t="n">
        <v>82.73830092</v>
      </c>
      <c r="H11" s="0" t="n">
        <v>34.4243412896074</v>
      </c>
      <c r="I11" s="0" t="n">
        <v>12.7559501975591</v>
      </c>
      <c r="J11" s="0" t="n">
        <v>49.1853421427098</v>
      </c>
      <c r="K11" s="0" t="n">
        <v>48.880343112201</v>
      </c>
      <c r="L11" s="0" t="n">
        <v>44.7083490576467</v>
      </c>
      <c r="M11" s="0" t="n">
        <v>46.0789089137847</v>
      </c>
      <c r="N11" s="0" t="n">
        <v>22.3015876348546</v>
      </c>
      <c r="O11" s="0" t="n">
        <v>13.9043547568691</v>
      </c>
      <c r="P11" s="0" t="n">
        <v>27.44389912</v>
      </c>
      <c r="Q11" s="0" t="n">
        <f aca="false">ABS(100-P11)</f>
        <v>72.55610088</v>
      </c>
      <c r="R11" s="0" t="n">
        <v>17.6470588235294</v>
      </c>
      <c r="S11" s="0" t="n">
        <v>48.125</v>
      </c>
      <c r="T11" s="0" t="n">
        <v>80.2137533398959</v>
      </c>
      <c r="U11" s="0" t="n">
        <v>76.2670439927965</v>
      </c>
      <c r="V11" s="0" t="n">
        <v>51.0989010989011</v>
      </c>
      <c r="W11" s="0" t="n">
        <v>14.4379844961238</v>
      </c>
      <c r="X11" s="0" t="n">
        <v>53.3898305084746</v>
      </c>
      <c r="Y11" s="0" t="n">
        <v>19.396551724138</v>
      </c>
      <c r="Z11" s="0" t="n">
        <v>30.4761904761905</v>
      </c>
      <c r="AA11" s="0" t="n">
        <v>24.7900352984136</v>
      </c>
      <c r="AB11" s="0" t="n">
        <v>21.0407810593896</v>
      </c>
      <c r="AC11" s="0" t="n">
        <v>24.0988067956122</v>
      </c>
      <c r="AD11" s="0" t="n">
        <v>32.1910965227525</v>
      </c>
      <c r="AE11" s="0" t="n">
        <v>33.3263531473576</v>
      </c>
      <c r="AF11" s="0" t="n">
        <v>59.1009303193357</v>
      </c>
      <c r="AG11" s="6" t="n">
        <v>91.91483629</v>
      </c>
      <c r="AH11" s="0" t="n">
        <v>52.287474945704</v>
      </c>
      <c r="AI11" s="0" t="n">
        <v>23.6002616067692</v>
      </c>
      <c r="AJ11" s="0" t="n">
        <v>39.5604395604396</v>
      </c>
      <c r="AK11" s="0" t="n">
        <v>49.1811199673304</v>
      </c>
      <c r="AL11" s="0" t="n">
        <v>51.8934081346424</v>
      </c>
      <c r="AM11" s="0" t="n">
        <v>30.253807106599</v>
      </c>
      <c r="AN11" s="0" t="n">
        <v>51.1315403826275</v>
      </c>
      <c r="AO11" s="0" t="n">
        <v>62.9659282068346</v>
      </c>
      <c r="AP11" s="0" t="n">
        <v>38.7754385805365</v>
      </c>
      <c r="AQ11" s="0" t="n">
        <v>34.3995243055041</v>
      </c>
      <c r="AR11" s="0" t="n">
        <v>24.1042726775444</v>
      </c>
      <c r="AS11" s="0" t="n">
        <v>24.7588635286268</v>
      </c>
      <c r="AT11" s="0" t="n">
        <v>41.8149012974019</v>
      </c>
      <c r="AU11" s="0" t="n">
        <v>13.1754049268873</v>
      </c>
      <c r="AV11" s="0" t="n">
        <v>31.9677239110286</v>
      </c>
      <c r="AW11" s="0" t="n">
        <v>85.3688544438108</v>
      </c>
      <c r="AX11" s="0" t="n">
        <v>100</v>
      </c>
      <c r="AY11" s="0" t="n">
        <v>62.62069134</v>
      </c>
      <c r="AZ11" s="0" t="n">
        <v>35.2637395168235</v>
      </c>
      <c r="BA11" s="0" t="n">
        <v>61.2871895635143</v>
      </c>
      <c r="BB11" s="0" t="n">
        <v>66.6683900873963</v>
      </c>
      <c r="BC11" s="0" t="n">
        <v>47.7611940298507</v>
      </c>
      <c r="BD11" s="0" t="n">
        <v>32.5212313425729</v>
      </c>
      <c r="BE11" s="0" t="n">
        <v>15.74035456</v>
      </c>
    </row>
    <row r="12" customFormat="false" ht="15" hidden="false" customHeight="false" outlineLevel="0" collapsed="false">
      <c r="A12" s="4" t="s">
        <v>66</v>
      </c>
      <c r="B12" s="5" t="n">
        <v>6.174836484</v>
      </c>
      <c r="C12" s="5" t="n">
        <v>28.59428103</v>
      </c>
      <c r="D12" s="5" t="n">
        <v>34.8521587</v>
      </c>
      <c r="E12" s="5" t="n">
        <v>8.208955224</v>
      </c>
      <c r="F12" s="6" t="n">
        <v>71.42857143</v>
      </c>
      <c r="G12" s="0" t="n">
        <v>85.7883045</v>
      </c>
      <c r="H12" s="0" t="n">
        <v>25.1322206217543</v>
      </c>
      <c r="I12" s="0" t="n">
        <v>60.8007578592439</v>
      </c>
      <c r="J12" s="0" t="n">
        <v>65.4292036522024</v>
      </c>
      <c r="K12" s="0" t="n">
        <v>29.7354185827927</v>
      </c>
      <c r="L12" s="0" t="n">
        <v>37.9694969884813</v>
      </c>
      <c r="M12" s="0" t="n">
        <v>64.3935703848027</v>
      </c>
      <c r="N12" s="0" t="n">
        <v>33.1176279822311</v>
      </c>
      <c r="O12" s="0" t="n">
        <v>45.3443431664875</v>
      </c>
      <c r="P12" s="0" t="n">
        <v>7.40303881</v>
      </c>
      <c r="Q12" s="0" t="n">
        <f aca="false">ABS(100-P12)</f>
        <v>92.59696119</v>
      </c>
      <c r="R12" s="0" t="n">
        <v>0</v>
      </c>
      <c r="S12" s="0" t="n">
        <v>56.5625</v>
      </c>
      <c r="T12" s="0" t="n">
        <v>93.6155252425819</v>
      </c>
      <c r="U12" s="0" t="n">
        <v>100</v>
      </c>
      <c r="V12" s="0" t="n">
        <v>47.8021978021978</v>
      </c>
      <c r="W12" s="0" t="n">
        <v>29.7405189620759</v>
      </c>
      <c r="X12" s="0" t="n">
        <v>45.7627118644068</v>
      </c>
      <c r="Y12" s="0" t="n">
        <v>42.8571428571429</v>
      </c>
      <c r="Z12" s="0" t="n">
        <v>16.1904761904762</v>
      </c>
      <c r="AA12" s="0" t="n">
        <v>53.4128561961565</v>
      </c>
      <c r="AB12" s="0" t="n">
        <v>13.5450228903979</v>
      </c>
      <c r="AC12" s="0" t="n">
        <v>33.934615729247</v>
      </c>
      <c r="AD12" s="0" t="n">
        <v>55.1297411642421</v>
      </c>
      <c r="AE12" s="0" t="n">
        <v>33.675060431877</v>
      </c>
      <c r="AF12" s="0" t="n">
        <v>61.535713042802</v>
      </c>
      <c r="AG12" s="6" t="n">
        <v>63.75743865</v>
      </c>
      <c r="AH12" s="0" t="n">
        <v>65.8623618557954</v>
      </c>
      <c r="AI12" s="0" t="n">
        <v>58.741780898386</v>
      </c>
      <c r="AJ12" s="0" t="n">
        <v>48.6677367576244</v>
      </c>
      <c r="AK12" s="0" t="n">
        <v>73.6022384550563</v>
      </c>
      <c r="AL12" s="0" t="n">
        <v>78.4011220196354</v>
      </c>
      <c r="AM12" s="0" t="n">
        <v>39.5431472081218</v>
      </c>
      <c r="AN12" s="0" t="n">
        <v>53.8392419562945</v>
      </c>
      <c r="AO12" s="0" t="n">
        <v>69.4933007132948</v>
      </c>
      <c r="AP12" s="0" t="n">
        <v>1.26042148684996</v>
      </c>
      <c r="AQ12" s="0" t="n">
        <v>69.2542070605713</v>
      </c>
      <c r="AR12" s="0" t="n">
        <v>42.6778003990293</v>
      </c>
      <c r="AS12" s="0" t="n">
        <v>24.8294393332646</v>
      </c>
      <c r="AT12" s="0" t="n">
        <v>74.019677689491</v>
      </c>
      <c r="AU12" s="0" t="n">
        <v>8.09137646255626</v>
      </c>
      <c r="AV12" s="0" t="n">
        <v>44.0946668523631</v>
      </c>
      <c r="AW12" s="0" t="n">
        <v>35.0922145678398</v>
      </c>
      <c r="AX12" s="0" t="n">
        <v>0</v>
      </c>
      <c r="AY12" s="0" t="n">
        <v>26.43958623</v>
      </c>
      <c r="AZ12" s="0" t="n">
        <v>75.3658097577093</v>
      </c>
      <c r="BA12" s="0" t="n">
        <v>9.92864248838089</v>
      </c>
      <c r="BB12" s="0" t="n">
        <v>6.72208882791637</v>
      </c>
      <c r="BC12" s="0" t="n">
        <v>8.2089552238806</v>
      </c>
      <c r="BD12" s="0" t="n">
        <v>57.3808697807661</v>
      </c>
      <c r="BE12" s="0" t="n">
        <v>0</v>
      </c>
    </row>
    <row r="13" customFormat="false" ht="15" hidden="false" customHeight="false" outlineLevel="0" collapsed="false">
      <c r="A13" s="4" t="s">
        <v>67</v>
      </c>
      <c r="B13" s="5" t="n">
        <v>8.930789208</v>
      </c>
      <c r="C13" s="5" t="n">
        <v>100</v>
      </c>
      <c r="D13" s="5" t="n">
        <v>72.51716119</v>
      </c>
      <c r="E13" s="5" t="n">
        <v>17.91044776</v>
      </c>
      <c r="F13" s="6" t="n">
        <v>57.14285714</v>
      </c>
      <c r="G13" s="0" t="n">
        <v>0</v>
      </c>
      <c r="H13" s="0" t="n">
        <v>9.08280034383229</v>
      </c>
      <c r="I13" s="0" t="n">
        <v>31.5245822115408</v>
      </c>
      <c r="J13" s="0" t="n">
        <v>90.5798010620728</v>
      </c>
      <c r="K13" s="0" t="n">
        <v>68.2428853668949</v>
      </c>
      <c r="L13" s="0" t="n">
        <v>84.8802749277928</v>
      </c>
      <c r="M13" s="0" t="n">
        <v>92.498782269849</v>
      </c>
      <c r="N13" s="0" t="n">
        <v>40.6931861286645</v>
      </c>
      <c r="O13" s="0" t="n">
        <v>6.17812882212112</v>
      </c>
      <c r="P13" s="0" t="n">
        <v>36.36549972</v>
      </c>
      <c r="Q13" s="0" t="n">
        <f aca="false">ABS(100-P13)</f>
        <v>63.63450028</v>
      </c>
      <c r="R13" s="0" t="n">
        <v>5.88235294117648</v>
      </c>
      <c r="S13" s="0" t="n">
        <v>15</v>
      </c>
      <c r="T13" s="0" t="n">
        <v>63.5634931795809</v>
      </c>
      <c r="U13" s="0" t="n">
        <v>64.2976588628763</v>
      </c>
      <c r="V13" s="0" t="n">
        <v>21.4285714285714</v>
      </c>
      <c r="W13" s="0" t="n">
        <v>0</v>
      </c>
      <c r="X13" s="0" t="n">
        <v>22.8813559322034</v>
      </c>
      <c r="Y13" s="0" t="n">
        <v>57.6923076923078</v>
      </c>
      <c r="Z13" s="0" t="n">
        <v>22.8571428571429</v>
      </c>
      <c r="AA13" s="0" t="n">
        <v>48.5089463220676</v>
      </c>
      <c r="AB13" s="0" t="n">
        <v>44.4485841657055</v>
      </c>
      <c r="AC13" s="0" t="n">
        <v>54.7228099730145</v>
      </c>
      <c r="AD13" s="0" t="n">
        <v>66.3227007023674</v>
      </c>
      <c r="AE13" s="0" t="n">
        <v>54.9507387635629</v>
      </c>
      <c r="AF13" s="0" t="n">
        <v>0</v>
      </c>
      <c r="AG13" s="6" t="n">
        <v>64.24340335</v>
      </c>
      <c r="AH13" s="0" t="n">
        <v>35.5137598827608</v>
      </c>
      <c r="AI13" s="0" t="n">
        <v>22.677249250427</v>
      </c>
      <c r="AJ13" s="0" t="n">
        <v>42.6470588235294</v>
      </c>
      <c r="AK13" s="0" t="n">
        <v>58.8480348010379</v>
      </c>
      <c r="AL13" s="0" t="n">
        <v>90.8835904628331</v>
      </c>
      <c r="AM13" s="0" t="n">
        <v>11.3197969543147</v>
      </c>
      <c r="AN13" s="0" t="n">
        <v>7.28638274334017</v>
      </c>
      <c r="AO13" s="0" t="n">
        <v>60.6192989089686</v>
      </c>
      <c r="AP13" s="0" t="n">
        <v>44.9860669851413</v>
      </c>
      <c r="AQ13" s="0" t="n">
        <v>35.5153575422187</v>
      </c>
      <c r="AR13" s="0" t="n">
        <v>28.632141158761</v>
      </c>
      <c r="AS13" s="0" t="n">
        <v>43.8776846588127</v>
      </c>
      <c r="AT13" s="0" t="n">
        <v>58.6235516874636</v>
      </c>
      <c r="AU13" s="0" t="n">
        <v>32.2647880653863</v>
      </c>
      <c r="AV13" s="0" t="n">
        <v>11.8731868700672</v>
      </c>
      <c r="AW13" s="0" t="n">
        <v>83.8277090434209</v>
      </c>
      <c r="AX13" s="0" t="n">
        <v>41.0405614427381</v>
      </c>
      <c r="AY13" s="0" t="n">
        <v>22.37537712</v>
      </c>
      <c r="AZ13" s="0" t="n">
        <v>100</v>
      </c>
      <c r="BA13" s="0" t="n">
        <v>57.4743901685158</v>
      </c>
      <c r="BB13" s="0" t="n">
        <v>100</v>
      </c>
      <c r="BC13" s="0" t="n">
        <v>17.910447761194</v>
      </c>
      <c r="BD13" s="0" t="n">
        <v>40.7042993724689</v>
      </c>
      <c r="BE13" s="0" t="n">
        <v>12.11474241</v>
      </c>
    </row>
    <row r="14" customFormat="false" ht="15" hidden="false" customHeight="false" outlineLevel="0" collapsed="false">
      <c r="A14" s="4" t="s">
        <v>68</v>
      </c>
      <c r="B14" s="5" t="n">
        <v>23.89645657</v>
      </c>
      <c r="C14" s="5" t="n">
        <v>5.932186125</v>
      </c>
      <c r="D14" s="5" t="n">
        <v>19.37846005</v>
      </c>
      <c r="E14" s="5" t="n">
        <v>67.1641791</v>
      </c>
      <c r="F14" s="6" t="n">
        <v>0</v>
      </c>
      <c r="G14" s="0" t="n">
        <v>88.98374968</v>
      </c>
      <c r="H14" s="0" t="n">
        <v>35.4965155428739</v>
      </c>
      <c r="I14" s="0" t="n">
        <v>97.4951480571914</v>
      </c>
      <c r="J14" s="0" t="n">
        <v>39.5018479952423</v>
      </c>
      <c r="K14" s="0" t="n">
        <v>100</v>
      </c>
      <c r="L14" s="0" t="n">
        <v>93.7560155651821</v>
      </c>
      <c r="M14" s="0" t="n">
        <v>30.1509985387238</v>
      </c>
      <c r="N14" s="0" t="n">
        <v>16.255929578782</v>
      </c>
      <c r="O14" s="0" t="n">
        <v>28.7081835134158</v>
      </c>
      <c r="P14" s="0" t="n">
        <v>2.090312</v>
      </c>
      <c r="Q14" s="0" t="n">
        <f aca="false">ABS(100-P14)</f>
        <v>97.909688</v>
      </c>
      <c r="R14" s="0" t="n">
        <v>35.2941176470588</v>
      </c>
      <c r="S14" s="0" t="n">
        <v>15.3125</v>
      </c>
      <c r="T14" s="0" t="n">
        <v>25.3550836731824</v>
      </c>
      <c r="U14" s="0" t="n">
        <v>0</v>
      </c>
      <c r="V14" s="0" t="n">
        <v>19.7802197802198</v>
      </c>
      <c r="W14" s="0" t="n">
        <v>0</v>
      </c>
      <c r="X14" s="0" t="n">
        <v>23.728813559322</v>
      </c>
      <c r="Y14" s="0" t="n">
        <v>46.875</v>
      </c>
      <c r="Z14" s="0" t="n">
        <v>14.2857142857143</v>
      </c>
      <c r="AA14" s="0" t="n">
        <v>66.1630218687873</v>
      </c>
      <c r="AB14" s="0" t="n">
        <v>63.0886893744308</v>
      </c>
      <c r="AC14" s="0" t="n">
        <v>30.113507664049</v>
      </c>
      <c r="AD14" s="0" t="n">
        <v>2.97274054594778</v>
      </c>
      <c r="AE14" s="0" t="n">
        <v>76.4409837129282</v>
      </c>
      <c r="AF14" s="0" t="n">
        <v>3.27679798535217</v>
      </c>
      <c r="AG14" s="6" t="n">
        <v>23.50216949</v>
      </c>
      <c r="AH14" s="0" t="n">
        <v>26.6846555143648</v>
      </c>
      <c r="AI14" s="0" t="n">
        <v>21.9500554200386</v>
      </c>
      <c r="AJ14" s="0" t="n">
        <v>21.4105793450882</v>
      </c>
      <c r="AK14" s="0" t="n">
        <v>17.3577175983329</v>
      </c>
      <c r="AL14" s="0" t="n">
        <v>27.2089761570828</v>
      </c>
      <c r="AM14" s="0" t="n">
        <v>11.2182741116751</v>
      </c>
      <c r="AN14" s="0" t="n">
        <v>0</v>
      </c>
      <c r="AO14" s="0" t="n">
        <v>52.024047785205</v>
      </c>
      <c r="AP14" s="0" t="n">
        <v>72.3727788130268</v>
      </c>
      <c r="AQ14" s="0" t="n">
        <v>14.4354126299725</v>
      </c>
      <c r="AR14" s="0" t="n">
        <v>6.54048694630374</v>
      </c>
      <c r="AS14" s="0" t="n">
        <v>82.6372188163453</v>
      </c>
      <c r="AT14" s="0" t="n">
        <v>51.1308769514271</v>
      </c>
      <c r="AU14" s="0" t="n">
        <v>25.5051073199278</v>
      </c>
      <c r="AV14" s="0" t="n">
        <v>21.9501769667367</v>
      </c>
      <c r="AW14" s="0" t="n">
        <v>100</v>
      </c>
      <c r="AX14" s="0" t="n">
        <v>96.3348170863593</v>
      </c>
      <c r="AY14" s="0" t="n">
        <v>37.36694349</v>
      </c>
      <c r="AZ14" s="0" t="n">
        <v>14.8176672642413</v>
      </c>
      <c r="BA14" s="0" t="n">
        <v>77.3581348996145</v>
      </c>
      <c r="BB14" s="0" t="n">
        <v>93.7067448657262</v>
      </c>
      <c r="BC14" s="0" t="n">
        <v>67.1641791044776</v>
      </c>
      <c r="BD14" s="0" t="n">
        <v>47.0691593709315</v>
      </c>
      <c r="BE14" s="0" t="n">
        <v>53.14917778</v>
      </c>
    </row>
    <row r="15" customFormat="false" ht="15" hidden="false" customHeight="false" outlineLevel="0" collapsed="false">
      <c r="A15" s="4" t="s">
        <v>69</v>
      </c>
      <c r="B15" s="5"/>
      <c r="C15" s="5" t="n">
        <v>4.718979024</v>
      </c>
      <c r="D15" s="5" t="n">
        <v>0</v>
      </c>
      <c r="E15" s="5" t="n">
        <v>28.35820896</v>
      </c>
      <c r="F15" s="6" t="n">
        <v>100</v>
      </c>
      <c r="G15" s="0" t="n">
        <v>63.62975013</v>
      </c>
      <c r="H15" s="0" t="n">
        <v>56.6579344177424</v>
      </c>
      <c r="I15" s="0" t="n">
        <v>44.1004952472903</v>
      </c>
      <c r="J15" s="0" t="n">
        <v>27.7739667269656</v>
      </c>
      <c r="K15" s="0" t="n">
        <v>40.2823027573452</v>
      </c>
      <c r="L15" s="0" t="n">
        <v>12.7904969202807</v>
      </c>
      <c r="M15" s="0" t="n">
        <v>34.3399902581588</v>
      </c>
      <c r="N15" s="0" t="n">
        <v>63.9801521050086</v>
      </c>
      <c r="O15" s="0" t="n">
        <v>7.50780945576486</v>
      </c>
      <c r="P15" s="0" t="n">
        <v>100</v>
      </c>
      <c r="Q15" s="0" t="n">
        <f aca="false">ABS(100-P15)</f>
        <v>0</v>
      </c>
      <c r="R15" s="0" t="n">
        <v>5.88235294117648</v>
      </c>
      <c r="S15" s="0" t="n">
        <v>51.875</v>
      </c>
      <c r="T15" s="0" t="n">
        <v>100</v>
      </c>
      <c r="U15" s="0" t="n">
        <v>77.9843066632364</v>
      </c>
      <c r="V15" s="0" t="n">
        <v>49.4505494505494</v>
      </c>
      <c r="W15" s="0" t="n">
        <v>0</v>
      </c>
      <c r="X15" s="0" t="n">
        <v>55.0847457627119</v>
      </c>
      <c r="Y15" s="0" t="n">
        <v>0</v>
      </c>
      <c r="Z15" s="0" t="n">
        <v>27.6190476190476</v>
      </c>
      <c r="AA15" s="0" t="n">
        <v>18.1464405059008</v>
      </c>
      <c r="AB15" s="0" t="n">
        <v>11.588683746356</v>
      </c>
      <c r="AC15" s="0" t="n">
        <v>18.2017346028391</v>
      </c>
      <c r="AD15" s="0" t="n">
        <v>65.7349672036692</v>
      </c>
      <c r="AE15" s="0" t="n">
        <v>7.89987374028195</v>
      </c>
      <c r="AF15" s="0" t="n">
        <v>100</v>
      </c>
      <c r="AG15" s="6" t="n">
        <v>53.84831138</v>
      </c>
      <c r="AH15" s="0" t="n">
        <v>65.3638638826765</v>
      </c>
      <c r="AI15" s="0" t="n">
        <v>31.0244369777287</v>
      </c>
      <c r="AJ15" s="0" t="n">
        <v>11.4565141460007</v>
      </c>
      <c r="AK15" s="0" t="n">
        <v>59.7074912312705</v>
      </c>
      <c r="AL15" s="0" t="n">
        <v>41.7952314165498</v>
      </c>
      <c r="AM15" s="0" t="n">
        <v>36.243654822335</v>
      </c>
      <c r="AN15" s="0" t="n">
        <v>29.3145348864002</v>
      </c>
      <c r="AO15" s="0" t="n">
        <v>26.4531069264759</v>
      </c>
      <c r="AP15" s="0" t="n">
        <v>58.4317340927544</v>
      </c>
      <c r="AQ15" s="0" t="n">
        <v>67.8121922230417</v>
      </c>
      <c r="AR15" s="0" t="n">
        <v>38.5892356869696</v>
      </c>
      <c r="AS15" s="0" t="n">
        <v>0</v>
      </c>
      <c r="AT15" s="0" t="n">
        <v>0</v>
      </c>
      <c r="AU15" s="0" t="n">
        <v>7.53574276858657</v>
      </c>
      <c r="AV15" s="0" t="n">
        <v>22.5513871862938</v>
      </c>
      <c r="AW15" s="0" t="n">
        <v>84.4561334517095</v>
      </c>
      <c r="AX15" s="0" t="n">
        <v>67.3026833796141</v>
      </c>
      <c r="AY15" s="0" t="n">
        <v>64.15807994</v>
      </c>
      <c r="AZ15" s="0" t="n">
        <v>35.992272587079</v>
      </c>
      <c r="BA15" s="0" t="n">
        <v>56.9534323972313</v>
      </c>
      <c r="BB15" s="0" t="n">
        <v>65.4740932652686</v>
      </c>
      <c r="BC15" s="0" t="n">
        <v>28.3582089552239</v>
      </c>
      <c r="BD15" s="0" t="n">
        <v>6.99730131704877</v>
      </c>
      <c r="BE15" s="0" t="n">
        <v>35.39821724</v>
      </c>
    </row>
    <row r="16" customFormat="false" ht="15" hidden="false" customHeight="false" outlineLevel="0" collapsed="false">
      <c r="A16" s="4" t="s">
        <v>70</v>
      </c>
      <c r="B16" s="5" t="n">
        <v>14.69498561</v>
      </c>
      <c r="C16" s="5"/>
      <c r="D16" s="5" t="n">
        <v>57.63094298</v>
      </c>
      <c r="E16" s="5" t="n">
        <v>11.94029851</v>
      </c>
      <c r="F16" s="6" t="n">
        <v>20.63492063</v>
      </c>
      <c r="G16" s="0" t="n">
        <v>95.721293454</v>
      </c>
      <c r="H16" s="0" t="n">
        <v>42.1816778604993</v>
      </c>
      <c r="I16" s="0" t="n">
        <v>96.2045773338675</v>
      </c>
      <c r="J16" s="0" t="n">
        <v>52.9905080344657</v>
      </c>
      <c r="K16" s="0" t="n">
        <v>35.7410788879718</v>
      </c>
      <c r="L16" s="0" t="n">
        <v>32.7844806890701</v>
      </c>
      <c r="M16" s="0" t="n">
        <v>62.3964929371651</v>
      </c>
      <c r="N16" s="0" t="n">
        <v>15.7530587378092</v>
      </c>
      <c r="O16" s="0" t="n">
        <v>51.5449980275444</v>
      </c>
      <c r="P16" s="0" t="n">
        <v>53.1291483</v>
      </c>
      <c r="Q16" s="0" t="n">
        <f aca="false">ABS(100-P16)</f>
        <v>46.8708517</v>
      </c>
      <c r="R16" s="0" t="n">
        <v>11.764705882353</v>
      </c>
      <c r="S16" s="0" t="n">
        <v>15</v>
      </c>
      <c r="T16" s="0" t="n">
        <v>25.6644635072423</v>
      </c>
      <c r="U16" s="0" t="n">
        <v>8.77926421404682</v>
      </c>
      <c r="V16" s="0" t="n">
        <v>36.8131868131868</v>
      </c>
      <c r="W16" s="0" t="n">
        <v>100</v>
      </c>
      <c r="X16" s="0" t="n">
        <v>33.8983050847458</v>
      </c>
      <c r="Y16" s="0" t="n">
        <v>32.6086956521739</v>
      </c>
      <c r="Z16" s="0" t="n">
        <v>14.2857142857143</v>
      </c>
      <c r="AA16" s="0" t="n">
        <v>51.3563778618611</v>
      </c>
      <c r="AB16" s="0" t="n">
        <v>68.2460447161133</v>
      </c>
      <c r="AC16" s="0" t="n">
        <v>12.1996076890902</v>
      </c>
      <c r="AD16" s="0" t="n">
        <v>0</v>
      </c>
      <c r="AE16" s="0" t="n">
        <v>40.916627546876</v>
      </c>
      <c r="AF16" s="0" t="n">
        <v>57.370807826016</v>
      </c>
      <c r="AG16" s="6" t="n">
        <v>63.45387192</v>
      </c>
      <c r="AH16" s="0" t="n">
        <v>79.3917209536225</v>
      </c>
      <c r="AI16" s="0" t="n">
        <v>25.6606536433202</v>
      </c>
      <c r="AJ16" s="0" t="n">
        <v>49.8714652956298</v>
      </c>
      <c r="AK16" s="0" t="n">
        <v>90.3393976485619</v>
      </c>
      <c r="AL16" s="0" t="n">
        <v>59.1164095371669</v>
      </c>
      <c r="AM16" s="0" t="n">
        <v>7.71573604060914</v>
      </c>
      <c r="AN16" s="0" t="n">
        <v>52.4632227952166</v>
      </c>
      <c r="AO16" s="0" t="n">
        <v>61.9166700108551</v>
      </c>
      <c r="AP16" s="0" t="n">
        <v>0</v>
      </c>
      <c r="AQ16" s="0" t="n">
        <v>17.3961679566864</v>
      </c>
      <c r="AR16" s="0" t="n">
        <v>0</v>
      </c>
      <c r="AS16" s="0" t="n">
        <v>6.75294724968541</v>
      </c>
      <c r="AT16" s="0" t="n">
        <v>61.6170150790738</v>
      </c>
      <c r="AU16" s="0" t="n">
        <v>33.5891537286467</v>
      </c>
      <c r="AV16" s="0" t="n">
        <v>55.888154870165</v>
      </c>
      <c r="AW16" s="0" t="n">
        <v>46.305234699749</v>
      </c>
      <c r="AX16" s="0" t="n">
        <v>74.2675619283798</v>
      </c>
      <c r="AY16" s="0" t="n">
        <v>41.81610873</v>
      </c>
      <c r="AZ16" s="0" t="n">
        <v>38.5316485568602</v>
      </c>
      <c r="BA16" s="0" t="n">
        <v>12.5320139328658</v>
      </c>
      <c r="BB16" s="0" t="n">
        <v>17.0030408377789</v>
      </c>
      <c r="BC16" s="0" t="n">
        <v>11.9402985074627</v>
      </c>
      <c r="BD16" s="0" t="n">
        <v>41.5956583836588</v>
      </c>
      <c r="BE16" s="0" t="n">
        <v>20.78248022</v>
      </c>
    </row>
    <row r="17" customFormat="false" ht="15" hidden="false" customHeight="false" outlineLevel="0" collapsed="false">
      <c r="A17" s="4" t="s">
        <v>71</v>
      </c>
      <c r="B17" s="5" t="n">
        <v>22.70380484</v>
      </c>
      <c r="C17" s="5" t="n">
        <v>9.750374199</v>
      </c>
      <c r="D17" s="5" t="n">
        <v>21.87120984</v>
      </c>
      <c r="E17" s="5" t="n">
        <v>18.65671642</v>
      </c>
      <c r="F17" s="6" t="n">
        <v>7.936507937</v>
      </c>
      <c r="G17" s="0" t="n">
        <v>74.37195741</v>
      </c>
      <c r="H17" s="0" t="n">
        <v>23.9607884362624</v>
      </c>
      <c r="I17" s="0" t="n">
        <v>91.7965947190633</v>
      </c>
      <c r="J17" s="0" t="n">
        <v>73.3439441934264</v>
      </c>
      <c r="K17" s="0" t="n">
        <v>68.9736447620315</v>
      </c>
      <c r="L17" s="0" t="n">
        <v>64.6172565759921</v>
      </c>
      <c r="M17" s="0" t="n">
        <v>77.8860204578665</v>
      </c>
      <c r="N17" s="0" t="n">
        <v>23.863746994112</v>
      </c>
      <c r="O17" s="0" t="n">
        <v>100</v>
      </c>
      <c r="P17" s="0" t="n">
        <v>70.16064085</v>
      </c>
      <c r="Q17" s="0" t="n">
        <f aca="false">ABS(100-P17)</f>
        <v>29.83935915</v>
      </c>
      <c r="R17" s="0" t="n">
        <v>0</v>
      </c>
      <c r="S17" s="0" t="n">
        <v>0</v>
      </c>
      <c r="T17" s="0" t="n">
        <v>0</v>
      </c>
      <c r="U17" s="0" t="n">
        <v>1.22845382042705</v>
      </c>
      <c r="V17" s="0" t="n">
        <v>0</v>
      </c>
      <c r="W17" s="0" t="n">
        <v>0</v>
      </c>
      <c r="X17" s="0" t="n">
        <v>0</v>
      </c>
      <c r="Y17" s="0" t="n">
        <v>57.6923076923077</v>
      </c>
      <c r="Z17" s="0" t="n">
        <v>0</v>
      </c>
      <c r="AA17" s="0" t="n">
        <v>90.9133434686002</v>
      </c>
      <c r="AB17" s="0" t="n">
        <v>100</v>
      </c>
      <c r="AC17" s="0" t="n">
        <v>38.8459347010759</v>
      </c>
      <c r="AD17" s="0" t="n">
        <v>5.10165186782648</v>
      </c>
      <c r="AE17" s="0" t="n">
        <v>95.2702779641316</v>
      </c>
      <c r="AF17" s="0" t="n">
        <v>14.6725533131593</v>
      </c>
      <c r="AG17" s="6" t="n">
        <v>100</v>
      </c>
      <c r="AH17" s="0" t="n">
        <v>64.2892471447765</v>
      </c>
      <c r="AI17" s="0" t="n">
        <v>63.0300822542323</v>
      </c>
      <c r="AJ17" s="0" t="n">
        <v>0</v>
      </c>
      <c r="AK17" s="0" t="n">
        <v>71.6711090082515</v>
      </c>
      <c r="AL17" s="0" t="n">
        <v>77.7699859747546</v>
      </c>
      <c r="AM17" s="0" t="n">
        <v>6.14213197969543</v>
      </c>
      <c r="AN17" s="0" t="n">
        <v>0.15416379597018</v>
      </c>
      <c r="AO17" s="0" t="n">
        <v>75.1575385986913</v>
      </c>
      <c r="AP17" s="0" t="n">
        <v>100</v>
      </c>
      <c r="AQ17" s="0" t="n">
        <v>13.6021726249174</v>
      </c>
      <c r="AR17" s="0" t="n">
        <v>4.17596148957359</v>
      </c>
      <c r="AS17" s="0" t="n">
        <v>19.0237974522489</v>
      </c>
      <c r="AT17" s="0" t="n">
        <v>74.3296309780344</v>
      </c>
      <c r="AU17" s="0" t="n">
        <v>50.1663897934528</v>
      </c>
      <c r="AV17" s="0" t="n">
        <v>0</v>
      </c>
      <c r="AW17" s="0" t="n">
        <v>86.6037843699906</v>
      </c>
      <c r="AX17" s="0" t="n">
        <v>40.7047903071162</v>
      </c>
      <c r="AY17" s="0" t="n">
        <v>30.21255826</v>
      </c>
      <c r="AZ17" s="0" t="n">
        <v>50.6080259741413</v>
      </c>
      <c r="BA17" s="0" t="n">
        <v>73.7650721053392</v>
      </c>
      <c r="BB17" s="0" t="n">
        <v>88.6823466834015</v>
      </c>
      <c r="BC17" s="0" t="n">
        <v>18.6567164179104</v>
      </c>
      <c r="BD17" s="0" t="n">
        <v>100</v>
      </c>
      <c r="BE17" s="0" t="n">
        <v>47.89981788</v>
      </c>
    </row>
    <row r="18" customFormat="false" ht="15" hidden="false" customHeight="false" outlineLevel="0" collapsed="false">
      <c r="A18" s="4" t="s">
        <v>72</v>
      </c>
      <c r="B18" s="5" t="n">
        <v>26.20776523</v>
      </c>
      <c r="C18" s="5" t="n">
        <v>3.164948628</v>
      </c>
      <c r="D18" s="5" t="n">
        <v>88.31885306</v>
      </c>
      <c r="E18" s="5" t="n">
        <v>0</v>
      </c>
      <c r="F18" s="6" t="n">
        <v>50.79365079</v>
      </c>
      <c r="G18" s="0" t="n">
        <v>99.318985512</v>
      </c>
      <c r="H18" s="0" t="n">
        <v>33.0317311319971</v>
      </c>
      <c r="I18" s="0" t="n">
        <v>65.5750656140791</v>
      </c>
      <c r="J18" s="0" t="n">
        <v>62.5715548856555</v>
      </c>
      <c r="K18" s="0" t="n">
        <v>32.4144513034711</v>
      </c>
      <c r="L18" s="0" t="n">
        <v>41.230463984126</v>
      </c>
      <c r="M18" s="0" t="n">
        <v>69.0696541646371</v>
      </c>
      <c r="N18" s="0" t="n">
        <v>23.4330408426307</v>
      </c>
      <c r="O18" s="0" t="n">
        <v>51.9579666733852</v>
      </c>
      <c r="P18" s="0" t="n">
        <v>0</v>
      </c>
      <c r="Q18" s="0" t="n">
        <f aca="false">ABS(100-P18)</f>
        <v>100</v>
      </c>
      <c r="R18" s="0" t="n">
        <v>5.88235294117648</v>
      </c>
      <c r="S18" s="0" t="n">
        <v>31.25</v>
      </c>
      <c r="T18" s="0" t="n">
        <v>63.9713120517508</v>
      </c>
      <c r="U18" s="0" t="n">
        <v>68.1373810136352</v>
      </c>
      <c r="V18" s="0" t="n">
        <v>32.967032967033</v>
      </c>
      <c r="W18" s="0" t="n">
        <v>53.9855072463766</v>
      </c>
      <c r="X18" s="0" t="n">
        <v>27.9661016949152</v>
      </c>
      <c r="Y18" s="0" t="n">
        <v>35.2941176470589</v>
      </c>
      <c r="Z18" s="0" t="n">
        <v>16.1904761904762</v>
      </c>
      <c r="AA18" s="0" t="n">
        <v>82.2035528762907</v>
      </c>
      <c r="AB18" s="0" t="n">
        <v>44.2362469904546</v>
      </c>
      <c r="AC18" s="0" t="n">
        <v>7.81821723990295</v>
      </c>
      <c r="AD18" s="0" t="n">
        <v>35.1428804804742</v>
      </c>
      <c r="AE18" s="0" t="n">
        <v>13.0027618604235</v>
      </c>
      <c r="AF18" s="0" t="n">
        <v>40.6073662876479</v>
      </c>
      <c r="AG18" s="6" t="n">
        <v>33.31649463</v>
      </c>
      <c r="AH18" s="0" t="n">
        <v>84.0495839575299</v>
      </c>
      <c r="AI18" s="0" t="n">
        <v>0</v>
      </c>
      <c r="AJ18" s="0" t="n">
        <v>28.2208588957055</v>
      </c>
      <c r="AK18" s="0" t="n">
        <v>100</v>
      </c>
      <c r="AL18" s="0" t="n">
        <v>49.4389901823282</v>
      </c>
      <c r="AM18" s="0" t="n">
        <v>9.84771573604061</v>
      </c>
      <c r="AN18" s="0" t="n">
        <v>37.8260995183885</v>
      </c>
      <c r="AO18" s="0" t="n">
        <v>77.6640586120729</v>
      </c>
      <c r="AP18" s="0" t="n">
        <v>27.8045668588654</v>
      </c>
      <c r="AQ18" s="0" t="n">
        <v>43.3640930735746</v>
      </c>
      <c r="AR18" s="0" t="n">
        <v>43.475361522105</v>
      </c>
      <c r="AS18" s="0" t="n">
        <v>28.5500672357495</v>
      </c>
      <c r="AT18" s="0" t="n">
        <v>32.7392559920218</v>
      </c>
      <c r="AU18" s="0" t="n">
        <v>20.3892841393969</v>
      </c>
      <c r="AV18" s="0" t="n">
        <v>71.2550596977047</v>
      </c>
      <c r="AW18" s="0" t="n">
        <v>19.3969862142941</v>
      </c>
      <c r="AX18" s="0" t="n">
        <v>18.3883520123051</v>
      </c>
      <c r="AY18" s="0" t="n">
        <v>38.2084362</v>
      </c>
      <c r="AZ18" s="0" t="n">
        <v>57.9311974925737</v>
      </c>
      <c r="BA18" s="0" t="n">
        <v>27.5566066107647</v>
      </c>
      <c r="BB18" s="0" t="n">
        <v>11.8747781244218</v>
      </c>
      <c r="BC18" s="0" t="n">
        <v>0</v>
      </c>
      <c r="BD18" s="0" t="n">
        <v>21.4010136971622</v>
      </c>
      <c r="BE18" s="0" t="n">
        <v>25.61404937</v>
      </c>
    </row>
    <row r="19" customFormat="false" ht="15" hidden="false" customHeight="false" outlineLevel="0" collapsed="false">
      <c r="A19" s="4" t="s">
        <v>73</v>
      </c>
      <c r="B19" s="5" t="n">
        <v>100</v>
      </c>
      <c r="C19" s="5" t="n">
        <v>100</v>
      </c>
      <c r="D19" s="5" t="n">
        <v>22.5400131</v>
      </c>
      <c r="E19" s="5" t="n">
        <v>61.94029851</v>
      </c>
      <c r="F19" s="5"/>
      <c r="H19" s="0" t="n">
        <v>73.2048438994889</v>
      </c>
      <c r="I19" s="0" t="n">
        <v>16.589786989406</v>
      </c>
      <c r="J19" s="0" t="n">
        <v>6.43059954170413</v>
      </c>
      <c r="K19" s="0" t="n">
        <v>18.8466456384858</v>
      </c>
      <c r="L19" s="0" t="n">
        <v>0</v>
      </c>
      <c r="M19" s="0" t="n">
        <v>17.5840233804189</v>
      </c>
      <c r="N19" s="0" t="n">
        <v>67.4755450427459</v>
      </c>
      <c r="O19" s="0" t="n">
        <v>76.1814423116706</v>
      </c>
      <c r="P19" s="0" t="n">
        <v>10.04229879</v>
      </c>
      <c r="Q19" s="0" t="n">
        <f aca="false">ABS(100-P19)</f>
        <v>89.95770121</v>
      </c>
      <c r="R19" s="0" t="n">
        <v>88.2352941176471</v>
      </c>
      <c r="S19" s="0" t="n">
        <v>78.75</v>
      </c>
      <c r="T19" s="0" t="n">
        <v>79.8059344677261</v>
      </c>
      <c r="U19" s="0" t="n">
        <v>13.4293799845639</v>
      </c>
      <c r="V19" s="0" t="n">
        <v>100</v>
      </c>
      <c r="W19" s="0" t="n">
        <v>77.3022049286645</v>
      </c>
      <c r="X19" s="0" t="n">
        <v>98.3050847457627</v>
      </c>
      <c r="Y19" s="0" t="n">
        <v>69.4444444444444</v>
      </c>
      <c r="Z19" s="0" t="n">
        <v>73.3333333333333</v>
      </c>
      <c r="AA19" s="0" t="n">
        <v>43.0348143695964</v>
      </c>
      <c r="AB19" s="0" t="n">
        <v>23.610973372341</v>
      </c>
      <c r="AC19" s="0" t="n">
        <v>75.1444744653145</v>
      </c>
      <c r="AD19" s="0" t="n">
        <v>78.0660194524181</v>
      </c>
      <c r="AE19" s="0" t="n">
        <v>49.1770544477533</v>
      </c>
      <c r="AF19" s="0" t="n">
        <v>96.0933322219617</v>
      </c>
      <c r="AG19" s="6" t="n">
        <v>46.36951997</v>
      </c>
      <c r="AH19" s="0" t="n">
        <v>0</v>
      </c>
      <c r="AI19" s="0" t="n">
        <v>100</v>
      </c>
      <c r="AJ19" s="0" t="n">
        <v>100</v>
      </c>
      <c r="AK19" s="0" t="n">
        <v>7.4210849922569</v>
      </c>
      <c r="AL19" s="0" t="n">
        <v>55.5399719495091</v>
      </c>
      <c r="AM19" s="0" t="n">
        <v>100</v>
      </c>
      <c r="AN19" s="0" t="n">
        <v>100</v>
      </c>
      <c r="AO19" s="0" t="n">
        <v>4.32476063825606</v>
      </c>
      <c r="AP19" s="0" t="n">
        <v>2.95116279551081</v>
      </c>
      <c r="AQ19" s="0" t="n">
        <v>80.0259639170173</v>
      </c>
      <c r="AR19" s="0" t="n">
        <v>61.4344904640718</v>
      </c>
      <c r="AS19" s="0" t="n">
        <v>68.5227641463803</v>
      </c>
      <c r="AT19" s="0" t="n">
        <v>9.50222419517521</v>
      </c>
      <c r="AU19" s="0" t="n">
        <v>100</v>
      </c>
      <c r="AV19" s="0" t="n">
        <v>100</v>
      </c>
      <c r="AY19" s="0" t="n">
        <v>51.19004646</v>
      </c>
      <c r="AZ19" s="0" t="n">
        <v>21.5987207252303</v>
      </c>
      <c r="BA19" s="0" t="n">
        <v>71.7550855041571</v>
      </c>
      <c r="BB19" s="0" t="n">
        <v>76.8020814823197</v>
      </c>
      <c r="BC19" s="0" t="n">
        <v>61.9402985074627</v>
      </c>
      <c r="BD19" s="0" t="n">
        <v>61.905380239657</v>
      </c>
      <c r="BE19" s="0" t="n">
        <v>100</v>
      </c>
    </row>
    <row r="20" customFormat="false" ht="15" hidden="false" customHeight="false" outlineLevel="0" collapsed="false">
      <c r="A20" s="4" t="s">
        <v>74</v>
      </c>
      <c r="B20" s="5" t="n">
        <v>100</v>
      </c>
      <c r="C20" s="7"/>
      <c r="D20" s="5" t="n">
        <v>21.14017465</v>
      </c>
      <c r="E20" s="5" t="n">
        <v>100</v>
      </c>
      <c r="F20" s="5"/>
      <c r="H20" s="0" t="n">
        <v>100</v>
      </c>
      <c r="I20" s="0" t="n">
        <v>100</v>
      </c>
      <c r="J20" s="0" t="n">
        <v>0</v>
      </c>
      <c r="K20" s="0" t="n">
        <v>0</v>
      </c>
      <c r="L20" s="0" t="n">
        <v>6.0367672194668</v>
      </c>
      <c r="M20" s="0" t="n">
        <v>34.9245007306381</v>
      </c>
      <c r="N20" s="0" t="n">
        <v>100</v>
      </c>
      <c r="O20" s="0" t="n">
        <v>77.3448017917737</v>
      </c>
      <c r="P20" s="0" t="n">
        <v>11.54241709</v>
      </c>
      <c r="Q20" s="0" t="n">
        <f aca="false">ABS(100-P20)</f>
        <v>88.45758291</v>
      </c>
      <c r="R20" s="0" t="n">
        <v>100</v>
      </c>
      <c r="S20" s="0" t="n">
        <v>100</v>
      </c>
      <c r="T20" s="0" t="n">
        <v>89.0592040500633</v>
      </c>
      <c r="U20" s="0" t="n">
        <v>32.3771546179573</v>
      </c>
      <c r="V20" s="0" t="n">
        <v>92.3076923076923</v>
      </c>
      <c r="W20" s="0" t="n">
        <v>71.5363511659809</v>
      </c>
      <c r="X20" s="0" t="n">
        <v>100</v>
      </c>
      <c r="Y20" s="0" t="n">
        <v>44.9101796407186</v>
      </c>
      <c r="Z20" s="0" t="n">
        <v>100</v>
      </c>
      <c r="AA20" s="0" t="n">
        <v>22.636594227737</v>
      </c>
      <c r="AB20" s="0" t="n">
        <v>14.6688043419496</v>
      </c>
      <c r="AC20" s="0" t="n">
        <v>100</v>
      </c>
      <c r="AD20" s="0" t="n">
        <v>100</v>
      </c>
      <c r="AE20" s="0" t="n">
        <v>56.8862087516167</v>
      </c>
      <c r="AF20" s="0" t="n">
        <v>76.7847329068374</v>
      </c>
      <c r="AG20" s="6" t="n">
        <v>20.60993196</v>
      </c>
      <c r="AH20" s="0" t="n">
        <v>16.0285164790418</v>
      </c>
      <c r="AI20" s="0" t="n">
        <v>65.2621977500823</v>
      </c>
      <c r="AJ20" s="0" t="n">
        <v>13.4535367545076</v>
      </c>
      <c r="AK20" s="0" t="n">
        <v>0</v>
      </c>
      <c r="AL20" s="0" t="n">
        <v>87.2370266479664</v>
      </c>
      <c r="AM20" s="0" t="n">
        <v>91.3197969543148</v>
      </c>
      <c r="AN20" s="0" t="n">
        <v>64.37400367592</v>
      </c>
      <c r="AO20" s="0" t="n">
        <v>0</v>
      </c>
      <c r="AP20" s="0" t="n">
        <v>12.081134883628</v>
      </c>
      <c r="AQ20" s="0" t="n">
        <v>100</v>
      </c>
      <c r="AR20" s="0" t="n">
        <v>100</v>
      </c>
      <c r="AS20" s="0" t="n">
        <v>49.6003353690735</v>
      </c>
      <c r="AT20" s="0" t="n">
        <v>58.3708936111853</v>
      </c>
      <c r="AU20" s="0" t="n">
        <v>100</v>
      </c>
      <c r="AV20" s="0" t="n">
        <v>97.884885557314</v>
      </c>
      <c r="AY20" s="0" t="n">
        <v>76.46172397</v>
      </c>
      <c r="AZ20" s="0" t="n">
        <v>0</v>
      </c>
      <c r="BA20" s="0" t="n">
        <v>100</v>
      </c>
      <c r="BB20" s="0" t="n">
        <v>13.0166355904164</v>
      </c>
      <c r="BC20" s="0" t="n">
        <v>100</v>
      </c>
      <c r="BD20" s="0" t="n">
        <v>25.2359367922831</v>
      </c>
      <c r="BE20" s="0" t="n">
        <v>97.378017244</v>
      </c>
    </row>
    <row r="23" customFormat="false" ht="15" hidden="false" customHeight="false" outlineLevel="0" collapsed="false">
      <c r="B23" s="0" t="n">
        <v>1</v>
      </c>
      <c r="C23" s="0" t="n">
        <v>2</v>
      </c>
      <c r="D23" s="0" t="n">
        <v>3</v>
      </c>
      <c r="E23" s="0" t="n">
        <v>4</v>
      </c>
      <c r="F23" s="0" t="n">
        <v>5</v>
      </c>
      <c r="G23" s="0" t="n">
        <v>6</v>
      </c>
      <c r="H23" s="0" t="n">
        <v>7</v>
      </c>
      <c r="I23" s="0" t="n">
        <v>8</v>
      </c>
      <c r="J23" s="0" t="n">
        <v>9</v>
      </c>
      <c r="K23" s="0" t="n">
        <v>10</v>
      </c>
      <c r="L23" s="0" t="n">
        <v>11</v>
      </c>
      <c r="M23" s="0" t="n">
        <v>12</v>
      </c>
      <c r="N23" s="0" t="n">
        <v>13</v>
      </c>
      <c r="O23" s="0" t="n">
        <v>14</v>
      </c>
      <c r="P23" s="0" t="n">
        <v>15</v>
      </c>
      <c r="Q23" s="0" t="n">
        <v>16</v>
      </c>
      <c r="R23" s="0" t="n">
        <v>17</v>
      </c>
      <c r="S23" s="0" t="n">
        <v>18</v>
      </c>
      <c r="T23" s="0" t="n">
        <v>19</v>
      </c>
      <c r="U23" s="0" t="n">
        <v>20</v>
      </c>
      <c r="V23" s="0" t="n">
        <v>21</v>
      </c>
      <c r="W23" s="0" t="n">
        <v>22</v>
      </c>
      <c r="X23" s="0" t="n">
        <v>23</v>
      </c>
      <c r="Y23" s="0" t="n">
        <v>24</v>
      </c>
      <c r="Z23" s="0" t="n">
        <v>25</v>
      </c>
      <c r="AA23" s="0" t="n">
        <v>26</v>
      </c>
      <c r="AB23" s="0" t="n">
        <v>27</v>
      </c>
      <c r="AC23" s="0" t="n">
        <v>28</v>
      </c>
      <c r="AD23" s="0" t="n">
        <v>29</v>
      </c>
      <c r="AE23" s="0" t="n">
        <v>30</v>
      </c>
      <c r="AF23" s="0" t="n">
        <v>31</v>
      </c>
      <c r="AG23" s="0" t="n">
        <v>32</v>
      </c>
      <c r="AH23" s="0" t="n">
        <v>33</v>
      </c>
      <c r="AI23" s="0" t="n">
        <v>34</v>
      </c>
      <c r="AJ23" s="0" t="n">
        <v>35</v>
      </c>
      <c r="AK23" s="0" t="n">
        <v>36</v>
      </c>
      <c r="AL23" s="0" t="n">
        <v>37</v>
      </c>
      <c r="AM23" s="0" t="n">
        <v>38</v>
      </c>
      <c r="AN23" s="0" t="n">
        <v>39</v>
      </c>
      <c r="AO23" s="0" t="n">
        <v>40</v>
      </c>
      <c r="AP23" s="0" t="n">
        <v>41</v>
      </c>
      <c r="AQ23" s="0" t="n">
        <v>42</v>
      </c>
      <c r="AR23" s="0" t="n">
        <v>43</v>
      </c>
      <c r="AS23" s="0" t="n">
        <v>44</v>
      </c>
      <c r="AT23" s="0" t="n">
        <v>45</v>
      </c>
      <c r="AU23" s="0" t="n">
        <v>46</v>
      </c>
      <c r="AV23" s="0" t="n">
        <v>47</v>
      </c>
      <c r="AW23" s="0" t="n">
        <v>48</v>
      </c>
      <c r="AX23" s="0" t="n">
        <v>49</v>
      </c>
      <c r="AY23" s="0" t="n">
        <v>50</v>
      </c>
      <c r="AZ23" s="0" t="n">
        <v>51</v>
      </c>
      <c r="BA23" s="0" t="n">
        <v>52</v>
      </c>
      <c r="BB23" s="0" t="n">
        <v>53</v>
      </c>
      <c r="BC23" s="0" t="n">
        <v>54</v>
      </c>
      <c r="BD23" s="0" t="n">
        <v>55</v>
      </c>
      <c r="BE23" s="0" t="n">
        <v>56</v>
      </c>
    </row>
    <row r="24" customFormat="false" ht="15" hidden="false" customHeight="false" outlineLevel="0" collapsed="false">
      <c r="B24" s="0" t="s">
        <v>0</v>
      </c>
      <c r="C24" s="0" t="s">
        <v>1</v>
      </c>
      <c r="D24" s="0" t="s">
        <v>2</v>
      </c>
      <c r="E24" s="0" t="s">
        <v>3</v>
      </c>
      <c r="F24" s="0" t="s">
        <v>4</v>
      </c>
      <c r="G24" s="0" t="s">
        <v>5</v>
      </c>
      <c r="H24" s="0" t="s">
        <v>6</v>
      </c>
      <c r="I24" s="0" t="s">
        <v>7</v>
      </c>
      <c r="J24" s="0" t="s">
        <v>8</v>
      </c>
      <c r="K24" s="0" t="s">
        <v>9</v>
      </c>
      <c r="L24" s="0" t="s">
        <v>10</v>
      </c>
      <c r="M24" s="0" t="s">
        <v>11</v>
      </c>
      <c r="N24" s="0" t="s">
        <v>12</v>
      </c>
      <c r="O24" s="0" t="s">
        <v>13</v>
      </c>
      <c r="P24" s="0" t="s">
        <v>14</v>
      </c>
      <c r="Q24" s="0" t="s">
        <v>15</v>
      </c>
      <c r="R24" s="0" t="s">
        <v>16</v>
      </c>
      <c r="S24" s="0" t="s">
        <v>17</v>
      </c>
      <c r="T24" s="0" t="s">
        <v>18</v>
      </c>
      <c r="U24" s="0" t="s">
        <v>19</v>
      </c>
      <c r="V24" s="0" t="s">
        <v>20</v>
      </c>
      <c r="W24" s="0" t="s">
        <v>21</v>
      </c>
      <c r="X24" s="0" t="s">
        <v>22</v>
      </c>
      <c r="Y24" s="0" t="s">
        <v>23</v>
      </c>
      <c r="Z24" s="0" t="s">
        <v>24</v>
      </c>
      <c r="AA24" s="0" t="s">
        <v>25</v>
      </c>
      <c r="AB24" s="0" t="s">
        <v>26</v>
      </c>
      <c r="AC24" s="0" t="s">
        <v>27</v>
      </c>
      <c r="AD24" s="0" t="s">
        <v>28</v>
      </c>
      <c r="AE24" s="0" t="s">
        <v>29</v>
      </c>
      <c r="AF24" s="0" t="s">
        <v>30</v>
      </c>
      <c r="AG24" s="0" t="s">
        <v>31</v>
      </c>
      <c r="AH24" s="0" t="s">
        <v>32</v>
      </c>
      <c r="AI24" s="0" t="s">
        <v>33</v>
      </c>
      <c r="AJ24" s="0" t="s">
        <v>34</v>
      </c>
      <c r="AK24" s="0" t="s">
        <v>35</v>
      </c>
      <c r="AL24" s="0" t="s">
        <v>36</v>
      </c>
      <c r="AM24" s="0" t="s">
        <v>37</v>
      </c>
      <c r="AN24" s="0" t="s">
        <v>38</v>
      </c>
      <c r="AO24" s="0" t="s">
        <v>39</v>
      </c>
      <c r="AP24" s="0" t="s">
        <v>40</v>
      </c>
      <c r="AQ24" s="0" t="s">
        <v>41</v>
      </c>
      <c r="AR24" s="0" t="s">
        <v>42</v>
      </c>
      <c r="AS24" s="0" t="s">
        <v>43</v>
      </c>
      <c r="AT24" s="0" t="s">
        <v>44</v>
      </c>
      <c r="AU24" s="0" t="s">
        <v>45</v>
      </c>
      <c r="AV24" s="0" t="s">
        <v>46</v>
      </c>
      <c r="AW24" s="0" t="s">
        <v>47</v>
      </c>
      <c r="AX24" s="0" t="s">
        <v>48</v>
      </c>
      <c r="AY24" s="0" t="s">
        <v>49</v>
      </c>
      <c r="AZ24" s="0" t="s">
        <v>50</v>
      </c>
      <c r="BA24" s="0" t="s">
        <v>51</v>
      </c>
      <c r="BB24" s="0" t="s">
        <v>52</v>
      </c>
      <c r="BC24" s="0" t="s">
        <v>53</v>
      </c>
      <c r="BD24" s="0" t="s">
        <v>54</v>
      </c>
      <c r="BE24" s="0" t="s">
        <v>55</v>
      </c>
    </row>
    <row r="25" customFormat="false" ht="15" hidden="false" customHeight="false" outlineLevel="0" collapsed="false">
      <c r="A25" s="8" t="s">
        <v>75</v>
      </c>
      <c r="B25" s="0" t="n">
        <v>1.6994322866553</v>
      </c>
      <c r="C25" s="0" t="n">
        <v>1.76169100000631</v>
      </c>
      <c r="D25" s="0" t="n">
        <v>1.78244390445664</v>
      </c>
      <c r="E25" s="0" t="n">
        <v>1.54493844241391</v>
      </c>
      <c r="F25" s="0" t="n">
        <v>1.51957378141905</v>
      </c>
      <c r="G25" s="0" t="n">
        <v>1.50343263351324</v>
      </c>
      <c r="H25" s="0" t="n">
        <v>1.59627814394628</v>
      </c>
      <c r="I25" s="0" t="n">
        <v>1.6763735039327</v>
      </c>
      <c r="J25" s="0" t="n">
        <v>1.5795266164978</v>
      </c>
      <c r="K25" s="0" t="n">
        <v>1.70173816492756</v>
      </c>
      <c r="L25" s="0" t="n">
        <v>1.77552626963986</v>
      </c>
      <c r="M25" s="0" t="n">
        <v>1.79098921805384</v>
      </c>
      <c r="N25" s="0" t="n">
        <v>1.76169100000631</v>
      </c>
      <c r="O25" s="0" t="n">
        <v>1.77444115045292</v>
      </c>
      <c r="P25" s="0" t="n">
        <v>1.72790844471272</v>
      </c>
      <c r="Q25" s="0" t="n">
        <v>1.63195349236709</v>
      </c>
      <c r="R25" s="0" t="n">
        <v>1.94405884336236</v>
      </c>
      <c r="S25" s="0" t="n">
        <v>1.91150526775399</v>
      </c>
      <c r="T25" s="0" t="n">
        <v>1.75178928742543</v>
      </c>
      <c r="U25" s="0" t="n">
        <v>1.75653668386831</v>
      </c>
      <c r="V25" s="0" t="n">
        <v>1.79214215718997</v>
      </c>
      <c r="W25" s="0" t="n">
        <v>1.73754709809677</v>
      </c>
      <c r="X25" s="0" t="n">
        <v>1.85623200916895</v>
      </c>
      <c r="Y25" s="0" t="n">
        <v>1.83249502695451</v>
      </c>
      <c r="Z25" s="0" t="n">
        <v>1.78976845896853</v>
      </c>
      <c r="AA25" s="0" t="n">
        <v>1.80976506822796</v>
      </c>
      <c r="AB25" s="0" t="n">
        <v>1.60719715576492</v>
      </c>
      <c r="AC25" s="0" t="n">
        <v>1.73517339987532</v>
      </c>
      <c r="AD25" s="0" t="n">
        <v>1.73402046073919</v>
      </c>
      <c r="AE25" s="0" t="n">
        <v>1.68559701702174</v>
      </c>
      <c r="AF25" s="0" t="n">
        <v>1.77789996786131</v>
      </c>
      <c r="AG25" s="0" t="n">
        <v>1.77552626963986</v>
      </c>
      <c r="AH25" s="0" t="n">
        <v>1.74941558920398</v>
      </c>
      <c r="AI25" s="0" t="n">
        <v>1.62598328168891</v>
      </c>
      <c r="AJ25" s="0" t="n">
        <v>1.5167931635025</v>
      </c>
      <c r="AK25" s="0" t="n">
        <v>1.77315257141842</v>
      </c>
      <c r="AL25" s="0" t="n">
        <v>1.82537393229018</v>
      </c>
      <c r="AM25" s="0" t="n">
        <v>1.83249502695451</v>
      </c>
      <c r="AN25" s="0" t="n">
        <v>1.83961612161884</v>
      </c>
      <c r="AO25" s="0" t="n">
        <v>1.74229449453965</v>
      </c>
      <c r="AP25" s="0" t="n">
        <v>1.82537393229018</v>
      </c>
      <c r="AQ25" s="0" t="n">
        <v>1.85148461272606</v>
      </c>
      <c r="AR25" s="0" t="n">
        <v>1.84198981984029</v>
      </c>
      <c r="AS25" s="0" t="n">
        <v>1.71618381410377</v>
      </c>
      <c r="AT25" s="0" t="n">
        <v>1.72567860698955</v>
      </c>
      <c r="AU25" s="0" t="n">
        <v>1.706689021218</v>
      </c>
      <c r="AV25" s="0" t="n">
        <v>1.67280987387557</v>
      </c>
      <c r="AW25" s="0" t="n">
        <v>1.74229449453965</v>
      </c>
      <c r="AX25" s="0" t="n">
        <v>1.70431532299655</v>
      </c>
      <c r="AY25" s="0" t="n">
        <v>1.78027366608275</v>
      </c>
      <c r="AZ25" s="0" t="n">
        <v>1.56426712793138</v>
      </c>
      <c r="BA25" s="0" t="n">
        <v>1.61648848880314</v>
      </c>
      <c r="BB25" s="0" t="n">
        <v>1.62360958346747</v>
      </c>
      <c r="BC25" s="0" t="n">
        <v>1.74021750859589</v>
      </c>
      <c r="BD25" s="0" t="n">
        <v>1.74941558920398</v>
      </c>
      <c r="BE25" s="0" t="n">
        <v>1.66633615145346</v>
      </c>
    </row>
    <row r="26" customFormat="false" ht="15" hidden="false" customHeight="false" outlineLevel="0" collapsed="false">
      <c r="B26" s="0" t="n">
        <f aca="false">100*B25</f>
        <v>169.94322866553</v>
      </c>
      <c r="C26" s="0" t="n">
        <f aca="false">100*C25</f>
        <v>176.169100000631</v>
      </c>
      <c r="D26" s="0" t="n">
        <f aca="false">100*D25</f>
        <v>178.244390445664</v>
      </c>
      <c r="E26" s="0" t="n">
        <f aca="false">100*E25</f>
        <v>154.493844241391</v>
      </c>
      <c r="F26" s="0" t="n">
        <f aca="false">100*F25</f>
        <v>151.957378141905</v>
      </c>
      <c r="G26" s="0" t="n">
        <f aca="false">100*G25</f>
        <v>150.343263351324</v>
      </c>
      <c r="H26" s="0" t="n">
        <f aca="false">100*H25</f>
        <v>159.627814394628</v>
      </c>
      <c r="I26" s="0" t="n">
        <f aca="false">100*I25</f>
        <v>167.63735039327</v>
      </c>
      <c r="J26" s="0" t="n">
        <f aca="false">100*J25</f>
        <v>157.95266164978</v>
      </c>
      <c r="K26" s="0" t="n">
        <f aca="false">100*K25</f>
        <v>170.173816492756</v>
      </c>
      <c r="L26" s="0" t="n">
        <f aca="false">100*L25</f>
        <v>177.552626963986</v>
      </c>
      <c r="M26" s="0" t="n">
        <f aca="false">100*M25</f>
        <v>179.098921805384</v>
      </c>
      <c r="N26" s="0" t="n">
        <f aca="false">100*N25</f>
        <v>176.169100000631</v>
      </c>
      <c r="O26" s="0" t="n">
        <f aca="false">100*O25</f>
        <v>177.444115045292</v>
      </c>
      <c r="P26" s="0" t="n">
        <f aca="false">100*P25</f>
        <v>172.790844471272</v>
      </c>
      <c r="Q26" s="0" t="n">
        <f aca="false">100*Q25</f>
        <v>163.195349236709</v>
      </c>
      <c r="R26" s="0" t="n">
        <f aca="false">100*R25</f>
        <v>194.405884336236</v>
      </c>
      <c r="S26" s="0" t="n">
        <f aca="false">100*S25</f>
        <v>191.150526775399</v>
      </c>
      <c r="T26" s="0" t="n">
        <f aca="false">100*T25</f>
        <v>175.178928742543</v>
      </c>
      <c r="U26" s="0" t="n">
        <f aca="false">100*U25</f>
        <v>175.653668386831</v>
      </c>
      <c r="V26" s="0" t="n">
        <f aca="false">100*V25</f>
        <v>179.214215718997</v>
      </c>
      <c r="W26" s="0" t="n">
        <f aca="false">100*W25</f>
        <v>173.754709809677</v>
      </c>
      <c r="X26" s="0" t="n">
        <f aca="false">100*X25</f>
        <v>185.623200916895</v>
      </c>
      <c r="Y26" s="0" t="n">
        <f aca="false">100*Y25</f>
        <v>183.249502695451</v>
      </c>
      <c r="Z26" s="0" t="n">
        <f aca="false">100*Z25</f>
        <v>178.976845896853</v>
      </c>
      <c r="AA26" s="0" t="n">
        <f aca="false">100*AA25</f>
        <v>180.976506822796</v>
      </c>
      <c r="AB26" s="0" t="n">
        <f aca="false">100*AB25</f>
        <v>160.719715576492</v>
      </c>
      <c r="AC26" s="0" t="n">
        <f aca="false">100*AC25</f>
        <v>173.517339987532</v>
      </c>
      <c r="AD26" s="0" t="n">
        <f aca="false">100*AD25</f>
        <v>173.402046073919</v>
      </c>
      <c r="AE26" s="0" t="n">
        <f aca="false">100*AE25</f>
        <v>168.559701702174</v>
      </c>
      <c r="AF26" s="0" t="n">
        <f aca="false">100*AF25</f>
        <v>177.789996786131</v>
      </c>
      <c r="AG26" s="0" t="n">
        <f aca="false">100*AG25</f>
        <v>177.552626963986</v>
      </c>
      <c r="AH26" s="0" t="n">
        <f aca="false">100*AH25</f>
        <v>174.941558920398</v>
      </c>
      <c r="AI26" s="0" t="n">
        <f aca="false">100*AI25</f>
        <v>162.598328168891</v>
      </c>
      <c r="AJ26" s="0" t="n">
        <f aca="false">100*AJ25</f>
        <v>151.67931635025</v>
      </c>
      <c r="AK26" s="0" t="n">
        <f aca="false">100*AK25</f>
        <v>177.315257141842</v>
      </c>
      <c r="AL26" s="0" t="n">
        <f aca="false">100*AL25</f>
        <v>182.537393229018</v>
      </c>
      <c r="AM26" s="0" t="n">
        <f aca="false">100*AM25</f>
        <v>183.249502695451</v>
      </c>
      <c r="AN26" s="0" t="n">
        <f aca="false">100*AN25</f>
        <v>183.961612161884</v>
      </c>
      <c r="AO26" s="0" t="n">
        <f aca="false">100*AO25</f>
        <v>174.229449453965</v>
      </c>
      <c r="AP26" s="0" t="n">
        <f aca="false">100*AP25</f>
        <v>182.537393229018</v>
      </c>
      <c r="AQ26" s="0" t="n">
        <f aca="false">100*AQ25</f>
        <v>185.148461272606</v>
      </c>
      <c r="AR26" s="0" t="n">
        <f aca="false">100*AR25</f>
        <v>184.198981984029</v>
      </c>
      <c r="AS26" s="0" t="n">
        <f aca="false">100*AS25</f>
        <v>171.618381410377</v>
      </c>
      <c r="AT26" s="0" t="n">
        <f aca="false">100*AT25</f>
        <v>172.567860698955</v>
      </c>
      <c r="AU26" s="0" t="n">
        <f aca="false">100*AU25</f>
        <v>170.6689021218</v>
      </c>
      <c r="AV26" s="0" t="n">
        <f aca="false">100*AV25</f>
        <v>167.280987387557</v>
      </c>
      <c r="AW26" s="0" t="n">
        <f aca="false">100*AW25</f>
        <v>174.229449453965</v>
      </c>
      <c r="AX26" s="0" t="n">
        <f aca="false">100*AX25</f>
        <v>170.431532299655</v>
      </c>
      <c r="AY26" s="0" t="n">
        <f aca="false">100*AY25</f>
        <v>178.027366608275</v>
      </c>
      <c r="AZ26" s="0" t="n">
        <f aca="false">100*AZ25</f>
        <v>156.426712793138</v>
      </c>
      <c r="BA26" s="0" t="n">
        <f aca="false">100*BA25</f>
        <v>161.648848880314</v>
      </c>
      <c r="BB26" s="0" t="n">
        <f aca="false">100*BB25</f>
        <v>162.360958346747</v>
      </c>
      <c r="BC26" s="0" t="n">
        <f aca="false">100*BC25</f>
        <v>174.021750859589</v>
      </c>
      <c r="BD26" s="0" t="n">
        <f aca="false">100*BD25</f>
        <v>174.941558920398</v>
      </c>
      <c r="BE26" s="0" t="n">
        <f aca="false">100*BE25</f>
        <v>166.633615145346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21.06"/>
  </cols>
  <sheetData>
    <row r="1" customFormat="false" ht="180" hidden="false" customHeight="false" outlineLevel="0" collapsed="false">
      <c r="A1" s="1" t="s">
        <v>76</v>
      </c>
      <c r="B1" s="2" t="s">
        <v>0</v>
      </c>
      <c r="C1" s="2" t="s">
        <v>77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3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G1" s="2" t="s">
        <v>78</v>
      </c>
    </row>
    <row r="2" customFormat="false" ht="13.8" hidden="false" customHeight="false" outlineLevel="0" collapsed="false">
      <c r="A2" s="9" t="s">
        <v>56</v>
      </c>
      <c r="B2" s="0" t="n">
        <f aca="false">'Datos Regional BRUTOS'!B2*'Datos Regional BRUTOS'!B$25</f>
        <v>10.8932586635328</v>
      </c>
      <c r="C2" s="0" t="n">
        <f aca="false">'Datos Regional BRUTOS'!C2*'Datos Regional BRUTOS'!C$25</f>
        <v>24.7485178137926</v>
      </c>
      <c r="D2" s="0" t="n">
        <f aca="false">'Datos Regional BRUTOS'!D2*'Datos Regional BRUTOS'!D$25</f>
        <v>60.7884005037295</v>
      </c>
      <c r="E2" s="0" t="n">
        <f aca="false">'Datos Regional BRUTOS'!E2*'Datos Regional BRUTOS'!E$25</f>
        <v>66.8704698962191</v>
      </c>
      <c r="F2" s="0" t="n">
        <f aca="false">'Datos Regional BRUTOS'!F2*'Datos Regional BRUTOS'!F$25</f>
        <v>125.425137514436</v>
      </c>
      <c r="G2" s="0" t="n">
        <f aca="false">'Datos Regional BRUTOS'!G2*'Datos Regional BRUTOS'!G$25</f>
        <v>103.510278701499</v>
      </c>
      <c r="H2" s="0" t="n">
        <f aca="false">'Datos Regional BRUTOS'!H2*'Datos Regional BRUTOS'!H$25</f>
        <v>64.0230830972898</v>
      </c>
      <c r="I2" s="0" t="n">
        <f aca="false">'Datos Regional BRUTOS'!I2*'Datos Regional BRUTOS'!I$25</f>
        <v>119.16875492733</v>
      </c>
      <c r="J2" s="0" t="n">
        <f aca="false">'Datos Regional BRUTOS'!J2*'Datos Regional BRUTOS'!J$25</f>
        <v>64.9455271389657</v>
      </c>
      <c r="K2" s="0" t="n">
        <f aca="false">'Datos Regional BRUTOS'!K2*'Datos Regional BRUTOS'!K$25</f>
        <v>79.0572685832592</v>
      </c>
      <c r="L2" s="0" t="n">
        <f aca="false">'Datos Regional BRUTOS'!L2*'Datos Regional BRUTOS'!L$25</f>
        <v>80.9105757175106</v>
      </c>
      <c r="M2" s="0" t="n">
        <f aca="false">'Datos Regional BRUTOS'!M2*'Datos Regional BRUTOS'!M$25</f>
        <v>69.0922289672986</v>
      </c>
      <c r="N2" s="0" t="n">
        <f aca="false">'Datos Regional BRUTOS'!N2*'Datos Regional BRUTOS'!N$25</f>
        <v>47.486812109947</v>
      </c>
      <c r="O2" s="0" t="n">
        <f aca="false">'Datos Regional BRUTOS'!O2*'Datos Regional BRUTOS'!O$25</f>
        <v>60.1481161982144</v>
      </c>
      <c r="P2" s="0" t="n">
        <f aca="false">'Datos Regional BRUTOS'!P2*'Datos Regional BRUTOS'!P$25</f>
        <v>62.7901240042422</v>
      </c>
      <c r="Q2" s="0" t="n">
        <f aca="false">'Datos Regional BRUTOS'!Q2*'Datos Regional BRUTOS'!Q$25</f>
        <v>103.892113310964</v>
      </c>
      <c r="R2" s="0" t="n">
        <f aca="false">'Datos Regional BRUTOS'!R2*'Datos Regional BRUTOS'!R$25</f>
        <v>11.4356402550727</v>
      </c>
      <c r="S2" s="0" t="n">
        <f aca="false">'Datos Regional BRUTOS'!S2*'Datos Regional BRUTOS'!S$25</f>
        <v>118.274388442278</v>
      </c>
      <c r="T2" s="0" t="n">
        <f aca="false">'Datos Regional BRUTOS'!T2*'Datos Regional BRUTOS'!T$25</f>
        <v>169.660706264926</v>
      </c>
      <c r="U2" s="0" t="n">
        <f aca="false">'Datos Regional BRUTOS'!U2*'Datos Regional BRUTOS'!U$25</f>
        <v>156.741638487194</v>
      </c>
      <c r="V2" s="0" t="n">
        <f aca="false">'Datos Regional BRUTOS'!V2*'Datos Regional BRUTOS'!V$25</f>
        <v>90.59180135246</v>
      </c>
      <c r="W2" s="0" t="n">
        <f aca="false">'Datos Regional BRUTOS'!W2*'Datos Regional BRUTOS'!W$25</f>
        <v>25.2333837832764</v>
      </c>
      <c r="X2" s="0" t="n">
        <f aca="false">'Datos Regional BRUTOS'!X2*'Datos Regional BRUTOS'!X$25</f>
        <v>106.969302223295</v>
      </c>
      <c r="Y2" s="0" t="n">
        <f aca="false">'Datos Regional BRUTOS'!Y2*'Datos Regional BRUTOS'!Y$25</f>
        <v>57.2654695923286</v>
      </c>
      <c r="Z2" s="0" t="n">
        <f aca="false">'Datos Regional BRUTOS'!Z2*'Datos Regional BRUTOS'!Z$25</f>
        <v>52.8407830743089</v>
      </c>
      <c r="AA2" s="0" t="n">
        <f aca="false">'Datos Regional BRUTOS'!AA2*'Datos Regional BRUTOS'!AA$25</f>
        <v>62.2979913084859</v>
      </c>
      <c r="AB2" s="0" t="n">
        <f aca="false">'Datos Regional BRUTOS'!AB2*'Datos Regional BRUTOS'!AB$25</f>
        <v>26.4153607709491</v>
      </c>
      <c r="AC2" s="0" t="n">
        <f aca="false">'Datos Regional BRUTOS'!AC2*'Datos Regional BRUTOS'!AC$25</f>
        <v>43.3838681699476</v>
      </c>
      <c r="AD2" s="0" t="n">
        <f aca="false">'Datos Regional BRUTOS'!AD2*'Datos Regional BRUTOS'!AD$25</f>
        <v>86.4178150734939</v>
      </c>
      <c r="AE2" s="0" t="n">
        <f aca="false">'Datos Regional BRUTOS'!AE2*'Datos Regional BRUTOS'!AE$25</f>
        <v>39.4672015697618</v>
      </c>
      <c r="AF2" s="0" t="n">
        <f aca="false">'Datos Regional BRUTOS'!AF2*'Datos Regional BRUTOS'!AF$25</f>
        <v>118.030236714145</v>
      </c>
      <c r="AG2" s="0" t="n">
        <f aca="false">'Datos Regional BRUTOS'!AG2*'Datos Regional BRUTOS'!AG$25</f>
        <v>110.442478816981</v>
      </c>
      <c r="AH2" s="0" t="n">
        <f aca="false">'Datos Regional BRUTOS'!AH2*'Datos Regional BRUTOS'!AH$25</f>
        <v>114.230066063516</v>
      </c>
      <c r="AI2" s="0" t="n">
        <f aca="false">'Datos Regional BRUTOS'!AI2*'Datos Regional BRUTOS'!AI$25</f>
        <v>77.7822028055365</v>
      </c>
      <c r="AJ2" s="0" t="n">
        <f aca="false">'Datos Regional BRUTOS'!AJ2*'Datos Regional BRUTOS'!AJ$25</f>
        <v>60.3728510399027</v>
      </c>
      <c r="AK2" s="0" t="n">
        <f aca="false">'Datos Regional BRUTOS'!AK2*'Datos Regional BRUTOS'!AK$25</f>
        <v>75.3126583729679</v>
      </c>
      <c r="AL2" s="0" t="n">
        <f aca="false">'Datos Regional BRUTOS'!AL2*'Datos Regional BRUTOS'!AL$25</f>
        <v>113.541842772889</v>
      </c>
      <c r="AM2" s="0" t="n">
        <f aca="false">'Datos Regional BRUTOS'!AM2*'Datos Regional BRUTOS'!AM$25</f>
        <v>88.3690495231871</v>
      </c>
      <c r="AN2" s="0" t="n">
        <f aca="false">'Datos Regional BRUTOS'!AN2*'Datos Regional BRUTOS'!AN$25</f>
        <v>101.267979514659</v>
      </c>
      <c r="AO2" s="0" t="n">
        <f aca="false">'Datos Regional BRUTOS'!AO2*'Datos Regional BRUTOS'!AO$25</f>
        <v>72.9441535687216</v>
      </c>
      <c r="AP2" s="0" t="n">
        <f aca="false">'Datos Regional BRUTOS'!AP2*'Datos Regional BRUTOS'!AP$25</f>
        <v>28.4096371405608</v>
      </c>
      <c r="AQ2" s="0" t="n">
        <f aca="false">'Datos Regional BRUTOS'!AQ2*'Datos Regional BRUTOS'!AQ$25</f>
        <v>115.261964438902</v>
      </c>
      <c r="AR2" s="0" t="n">
        <f aca="false">'Datos Regional BRUTOS'!AR2*'Datos Regional BRUTOS'!AR$25</f>
        <v>76.0007520359624</v>
      </c>
      <c r="AS2" s="0" t="n">
        <f aca="false">'Datos Regional BRUTOS'!AS2*'Datos Regional BRUTOS'!AS$25</f>
        <v>35.273207139306</v>
      </c>
      <c r="AT2" s="0" t="n">
        <f aca="false">'Datos Regional BRUTOS'!AT2*'Datos Regional BRUTOS'!AT$25</f>
        <v>119.026363499153</v>
      </c>
      <c r="AU2" s="0" t="n">
        <f aca="false">'Datos Regional BRUTOS'!AU2*'Datos Regional BRUTOS'!AU$25</f>
        <v>0</v>
      </c>
      <c r="AV2" s="0" t="n">
        <f aca="false">'Datos Regional BRUTOS'!AV2*'Datos Regional BRUTOS'!AV$25</f>
        <v>15.1536811362935</v>
      </c>
      <c r="AW2" s="0" t="n">
        <f aca="false">'Datos Regional BRUTOS'!AW2*'Datos Regional BRUTOS'!AW$25</f>
        <v>144.689289521907</v>
      </c>
      <c r="AX2" s="0" t="n">
        <f aca="false">'Datos Regional BRUTOS'!AX2*'Datos Regional BRUTOS'!AX$25</f>
        <v>166.404943484138</v>
      </c>
      <c r="AY2" s="0" t="n">
        <f aca="false">'Datos Regional BRUTOS'!AY2*'Datos Regional BRUTOS'!AY$25</f>
        <v>91.0586688168845</v>
      </c>
      <c r="AZ2" s="0" t="n">
        <f aca="false">'Datos Regional BRUTOS'!AZ2*'Datos Regional BRUTOS'!AZ$25</f>
        <v>70.7156436101552</v>
      </c>
      <c r="BA2" s="0" t="n">
        <f aca="false">'Datos Regional BRUTOS'!BA2*'Datos Regional BRUTOS'!BA$25</f>
        <v>63.2170230264172</v>
      </c>
      <c r="BB2" s="0" t="n">
        <f aca="false">'Datos Regional BRUTOS'!BB2*'Datos Regional BRUTOS'!BB$25</f>
        <v>71.7188313300055</v>
      </c>
      <c r="BC2" s="0" t="n">
        <f aca="false">'Datos Regional BRUTOS'!BC2*'Datos Regional BRUTOS'!BC$25</f>
        <v>75.3228473869863</v>
      </c>
      <c r="BD2" s="0" t="n">
        <f aca="false">'Datos Regional BRUTOS'!BD2*'Datos Regional BRUTOS'!BD$25</f>
        <v>20.6678458980239</v>
      </c>
      <c r="BE2" s="0" t="n">
        <f aca="false">'Datos Regional BRUTOS'!BE2*'Datos Regional BRUTOS'!BE$25</f>
        <v>69.8694243737847</v>
      </c>
      <c r="BF2" s="10" t="n">
        <f aca="false">AVERAGE(B2:BE2)</f>
        <v>76.5326724919106</v>
      </c>
      <c r="BG2" s="0" t="n">
        <v>76.5326724919106</v>
      </c>
    </row>
    <row r="3" customFormat="false" ht="15" hidden="false" customHeight="false" outlineLevel="0" collapsed="false">
      <c r="A3" s="4" t="s">
        <v>57</v>
      </c>
      <c r="B3" s="0" t="n">
        <f aca="false">'Datos Regional BRUTOS'!B3*'Datos Regional BRUTOS'!B$25</f>
        <v>10.0342045459543</v>
      </c>
      <c r="C3" s="0" t="n">
        <f aca="false">'Datos Regional BRUTOS'!C3*'Datos Regional BRUTOS'!C$25</f>
        <v>59.4393248911581</v>
      </c>
      <c r="D3" s="0" t="n">
        <f aca="false">'Datos Regional BRUTOS'!D3*'Datos Regional BRUTOS'!D$25</f>
        <v>178.244390445664</v>
      </c>
      <c r="E3" s="0" t="n">
        <f aca="false">'Datos Regional BRUTOS'!E3*'Datos Regional BRUTOS'!E$25</f>
        <v>38.0469914897463</v>
      </c>
      <c r="F3" s="0" t="n">
        <f aca="false">'Datos Regional BRUTOS'!F3*'Datos Regional BRUTOS'!F$25</f>
        <v>67.5366125007598</v>
      </c>
      <c r="G3" s="0" t="n">
        <f aca="false">'Datos Regional BRUTOS'!G3*'Datos Regional BRUTOS'!G$25</f>
        <v>138.680335024934</v>
      </c>
      <c r="H3" s="0" t="n">
        <f aca="false">'Datos Regional BRUTOS'!H3*'Datos Regional BRUTOS'!H$25</f>
        <v>48.5466696366991</v>
      </c>
      <c r="I3" s="0" t="n">
        <f aca="false">'Datos Regional BRUTOS'!I3*'Datos Regional BRUTOS'!I$25</f>
        <v>144.582482384614</v>
      </c>
      <c r="J3" s="0" t="n">
        <f aca="false">'Datos Regional BRUTOS'!J3*'Datos Regional BRUTOS'!J$25</f>
        <v>99.9396872869064</v>
      </c>
      <c r="K3" s="0" t="n">
        <f aca="false">'Datos Regional BRUTOS'!K3*'Datos Regional BRUTOS'!K$25</f>
        <v>81.2848349751154</v>
      </c>
      <c r="L3" s="0" t="n">
        <f aca="false">'Datos Regional BRUTOS'!L3*'Datos Regional BRUTOS'!L$25</f>
        <v>55.1008823001827</v>
      </c>
      <c r="M3" s="0" t="n">
        <f aca="false">'Datos Regional BRUTOS'!M3*'Datos Regional BRUTOS'!M$25</f>
        <v>119.60283575021</v>
      </c>
      <c r="N3" s="0" t="n">
        <f aca="false">'Datos Regional BRUTOS'!N3*'Datos Regional BRUTOS'!N$25</f>
        <v>28.2585003378661</v>
      </c>
      <c r="O3" s="0" t="n">
        <f aca="false">'Datos Regional BRUTOS'!O3*'Datos Regional BRUTOS'!O$25</f>
        <v>60.9492550581771</v>
      </c>
      <c r="P3" s="0" t="n">
        <f aca="false">'Datos Regional BRUTOS'!P3*'Datos Regional BRUTOS'!P$25</f>
        <v>154.679142285388</v>
      </c>
      <c r="Q3" s="0" t="n">
        <f aca="false">'Datos Regional BRUTOS'!Q3*'Datos Regional BRUTOS'!Q$25</f>
        <v>17.1059153772936</v>
      </c>
      <c r="R3" s="0" t="n">
        <f aca="false">'Datos Regional BRUTOS'!R3*'Datos Regional BRUTOS'!R$25</f>
        <v>11.4356402550727</v>
      </c>
      <c r="S3" s="0" t="n">
        <f aca="false">'Datos Regional BRUTOS'!S3*'Datos Regional BRUTOS'!S$25</f>
        <v>34.048687581868</v>
      </c>
      <c r="T3" s="0" t="n">
        <f aca="false">'Datos Regional BRUTOS'!T3*'Datos Regional BRUTOS'!T$25</f>
        <v>82.0589244327675</v>
      </c>
      <c r="U3" s="0" t="n">
        <f aca="false">'Datos Regional BRUTOS'!U3*'Datos Regional BRUTOS'!U$25</f>
        <v>82.7655502059382</v>
      </c>
      <c r="V3" s="0" t="n">
        <f aca="false">'Datos Regional BRUTOS'!V3*'Datos Regional BRUTOS'!V$25</f>
        <v>36.4336592395763</v>
      </c>
      <c r="W3" s="0" t="n">
        <f aca="false">'Datos Regional BRUTOS'!W3*'Datos Regional BRUTOS'!W$25</f>
        <v>37.5209445820894</v>
      </c>
      <c r="X3" s="0" t="n">
        <f aca="false">'Datos Regional BRUTOS'!X3*'Datos Regional BRUTOS'!X$25</f>
        <v>29.8884815035678</v>
      </c>
      <c r="Y3" s="0" t="n">
        <f aca="false">'Datos Regional BRUTOS'!Y3*'Datos Regional BRUTOS'!Y$25</f>
        <v>139.428969442191</v>
      </c>
      <c r="Z3" s="0" t="n">
        <f aca="false">'Datos Regional BRUTOS'!Z3*'Datos Regional BRUTOS'!Z$25</f>
        <v>17.0454138949383</v>
      </c>
      <c r="AA3" s="0" t="n">
        <f aca="false">'Datos Regional BRUTOS'!AA3*'Datos Regional BRUTOS'!AA$25</f>
        <v>147.42929112467</v>
      </c>
      <c r="AB3" s="0" t="n">
        <f aca="false">'Datos Regional BRUTOS'!AB3*'Datos Regional BRUTOS'!AB$25</f>
        <v>112.407297132861</v>
      </c>
      <c r="AC3" s="0" t="n">
        <f aca="false">'Datos Regional BRUTOS'!AC3*'Datos Regional BRUTOS'!AC$25</f>
        <v>47.3308323696222</v>
      </c>
      <c r="AD3" s="0" t="n">
        <f aca="false">'Datos Regional BRUTOS'!AD3*'Datos Regional BRUTOS'!AD$25</f>
        <v>37.8295665467927</v>
      </c>
      <c r="AE3" s="0" t="n">
        <f aca="false">'Datos Regional BRUTOS'!AE3*'Datos Regional BRUTOS'!AE$25</f>
        <v>80.2777770353684</v>
      </c>
      <c r="AF3" s="0" t="n">
        <f aca="false">'Datos Regional BRUTOS'!AF3*'Datos Regional BRUTOS'!AF$25</f>
        <v>112.384605661699</v>
      </c>
      <c r="AG3" s="0" t="n">
        <f aca="false">'Datos Regional BRUTOS'!AG3*'Datos Regional BRUTOS'!AG$25</f>
        <v>75.5339368348058</v>
      </c>
      <c r="AH3" s="0" t="n">
        <f aca="false">'Datos Regional BRUTOS'!AH3*'Datos Regional BRUTOS'!AH$25</f>
        <v>141.991669219436</v>
      </c>
      <c r="AI3" s="0" t="n">
        <f aca="false">'Datos Regional BRUTOS'!AI3*'Datos Regional BRUTOS'!AI$25</f>
        <v>40.4292116171429</v>
      </c>
      <c r="AJ3" s="0" t="n">
        <f aca="false">'Datos Regional BRUTOS'!AJ3*'Datos Regional BRUTOS'!AJ$25</f>
        <v>7.99298167675263</v>
      </c>
      <c r="AK3" s="0" t="n">
        <f aca="false">'Datos Regional BRUTOS'!AK3*'Datos Regional BRUTOS'!AK$25</f>
        <v>117.127005246266</v>
      </c>
      <c r="AL3" s="0" t="n">
        <f aca="false">'Datos Regional BRUTOS'!AL3*'Datos Regional BRUTOS'!AL$25</f>
        <v>97.9250391445995</v>
      </c>
      <c r="AM3" s="0" t="n">
        <f aca="false">'Datos Regional BRUTOS'!AM3*'Datos Regional BRUTOS'!AM$25</f>
        <v>25.7665544399188</v>
      </c>
      <c r="AN3" s="0" t="n">
        <f aca="false">'Datos Regional BRUTOS'!AN3*'Datos Regional BRUTOS'!AN$25</f>
        <v>132.406026910936</v>
      </c>
      <c r="AO3" s="0" t="n">
        <f aca="false">'Datos Regional BRUTOS'!AO3*'Datos Regional BRUTOS'!AO$25</f>
        <v>122.388002913791</v>
      </c>
      <c r="AP3" s="0" t="n">
        <f aca="false">'Datos Regional BRUTOS'!AP3*'Datos Regional BRUTOS'!AP$25</f>
        <v>45.1568764476368</v>
      </c>
      <c r="AQ3" s="0" t="n">
        <f aca="false">'Datos Regional BRUTOS'!AQ3*'Datos Regional BRUTOS'!AQ$25</f>
        <v>81.8628980185167</v>
      </c>
      <c r="AR3" s="0" t="n">
        <f aca="false">'Datos Regional BRUTOS'!AR3*'Datos Regional BRUTOS'!AR$25</f>
        <v>68.5953474788469</v>
      </c>
      <c r="AS3" s="0" t="n">
        <f aca="false">'Datos Regional BRUTOS'!AS3*'Datos Regional BRUTOS'!AS$25</f>
        <v>46.8778012056362</v>
      </c>
      <c r="AT3" s="0" t="n">
        <f aca="false">'Datos Regional BRUTOS'!AT3*'Datos Regional BRUTOS'!AT$25</f>
        <v>133.642271237543</v>
      </c>
      <c r="AU3" s="0" t="n">
        <f aca="false">'Datos Regional BRUTOS'!AU3*'Datos Regional BRUTOS'!AU$25</f>
        <v>109.701758268534</v>
      </c>
      <c r="AV3" s="0" t="n">
        <f aca="false">'Datos Regional BRUTOS'!AV3*'Datos Regional BRUTOS'!AV$25</f>
        <v>34.600321466784</v>
      </c>
      <c r="AW3" s="0" t="n">
        <f aca="false">'Datos Regional BRUTOS'!AW3*'Datos Regional BRUTOS'!AW$25</f>
        <v>0</v>
      </c>
      <c r="AX3" s="0" t="n">
        <f aca="false">'Datos Regional BRUTOS'!AX3*'Datos Regional BRUTOS'!AX$25</f>
        <v>27.9642377554319</v>
      </c>
      <c r="AY3" s="0" t="n">
        <f aca="false">'Datos Regional BRUTOS'!AY3*'Datos Regional BRUTOS'!AY$25</f>
        <v>70.9640064319258</v>
      </c>
      <c r="AZ3" s="0" t="n">
        <f aca="false">'Datos Regional BRUTOS'!AZ3*'Datos Regional BRUTOS'!AZ$25</f>
        <v>73.1241486142557</v>
      </c>
      <c r="BA3" s="0" t="n">
        <f aca="false">'Datos Regional BRUTOS'!BA3*'Datos Regional BRUTOS'!BA$25</f>
        <v>69.444389237357</v>
      </c>
      <c r="BB3" s="0" t="n">
        <f aca="false">'Datos Regional BRUTOS'!BB3*'Datos Regional BRUTOS'!BB$25</f>
        <v>79.3797475223116</v>
      </c>
      <c r="BC3" s="0" t="n">
        <f aca="false">'Datos Regional BRUTOS'!BC3*'Datos Regional BRUTOS'!BC$25</f>
        <v>42.8561028236301</v>
      </c>
      <c r="BD3" s="0" t="n">
        <f aca="false">'Datos Regional BRUTOS'!BD3*'Datos Regional BRUTOS'!BD$25</f>
        <v>104.674365594946</v>
      </c>
      <c r="BE3" s="0" t="n">
        <f aca="false">'Datos Regional BRUTOS'!BE3*'Datos Regional BRUTOS'!BE$25</f>
        <v>52.235777080609</v>
      </c>
      <c r="BF3" s="10" t="n">
        <f aca="false">AVERAGE(B3:BE3)</f>
        <v>73.4456818301304</v>
      </c>
      <c r="BG3" s="0" t="n">
        <v>73.4456818301304</v>
      </c>
    </row>
    <row r="4" customFormat="false" ht="15" hidden="false" customHeight="false" outlineLevel="0" collapsed="false">
      <c r="A4" s="4" t="s">
        <v>58</v>
      </c>
      <c r="B4" s="0" t="n">
        <f aca="false">'Datos Regional BRUTOS'!B4*'Datos Regional BRUTOS'!B$25</f>
        <v>44.0770061795085</v>
      </c>
      <c r="C4" s="0" t="n">
        <f aca="false">'Datos Regional BRUTOS'!C4*'Datos Regional BRUTOS'!C$25</f>
        <v>66.3612085178577</v>
      </c>
      <c r="D4" s="0" t="n">
        <f aca="false">'Datos Regional BRUTOS'!D4*'Datos Regional BRUTOS'!D$25</f>
        <v>94.9613582156606</v>
      </c>
      <c r="E4" s="0" t="n">
        <f aca="false">'Datos Regional BRUTOS'!E4*'Datos Regional BRUTOS'!E$25</f>
        <v>118.7527310186</v>
      </c>
      <c r="F4" s="0" t="n">
        <f aca="false">'Datos Regional BRUTOS'!F4*'Datos Regional BRUTOS'!F$25</f>
        <v>43.4163937526592</v>
      </c>
      <c r="G4" s="0" t="n">
        <f aca="false">'Datos Regional BRUTOS'!G4*'Datos Regional BRUTOS'!G$25</f>
        <v>35.8364188741932</v>
      </c>
      <c r="H4" s="0" t="n">
        <f aca="false">'Datos Regional BRUTOS'!H4*'Datos Regional BRUTOS'!H$25</f>
        <v>0</v>
      </c>
      <c r="I4" s="0" t="n">
        <f aca="false">'Datos Regional BRUTOS'!I4*'Datos Regional BRUTOS'!I$25</f>
        <v>111.604368235622</v>
      </c>
      <c r="J4" s="0" t="n">
        <f aca="false">'Datos Regional BRUTOS'!J4*'Datos Regional BRUTOS'!J$25</f>
        <v>157.95266164978</v>
      </c>
      <c r="K4" s="0" t="n">
        <f aca="false">'Datos Regional BRUTOS'!K4*'Datos Regional BRUTOS'!K$25</f>
        <v>141.564163730939</v>
      </c>
      <c r="L4" s="0" t="n">
        <f aca="false">'Datos Regional BRUTOS'!L4*'Datos Regional BRUTOS'!L$25</f>
        <v>177.552626963986</v>
      </c>
      <c r="M4" s="0" t="n">
        <f aca="false">'Datos Regional BRUTOS'!M4*'Datos Regional BRUTOS'!M$25</f>
        <v>178.662733491196</v>
      </c>
      <c r="N4" s="0" t="n">
        <f aca="false">'Datos Regional BRUTOS'!N4*'Datos Regional BRUTOS'!N$25</f>
        <v>137.694275232388</v>
      </c>
      <c r="O4" s="0" t="n">
        <f aca="false">'Datos Regional BRUTOS'!O4*'Datos Regional BRUTOS'!O$25</f>
        <v>121.525383682174</v>
      </c>
      <c r="P4" s="0" t="n">
        <f aca="false">'Datos Regional BRUTOS'!P4*'Datos Regional BRUTOS'!P$25</f>
        <v>11.2963782050642</v>
      </c>
      <c r="Q4" s="0" t="n">
        <f aca="false">'Datos Regional BRUTOS'!Q4*'Datos Regional BRUTOS'!Q$25</f>
        <v>152.526286347836</v>
      </c>
      <c r="R4" s="0" t="n">
        <f aca="false">'Datos Regional BRUTOS'!R4*'Datos Regional BRUTOS'!R$25</f>
        <v>11.4356402550727</v>
      </c>
      <c r="S4" s="0" t="n">
        <f aca="false">'Datos Regional BRUTOS'!S4*'Datos Regional BRUTOS'!S$25</f>
        <v>37.0354145627336</v>
      </c>
      <c r="T4" s="0" t="n">
        <f aca="false">'Datos Regional BRUTOS'!T4*'Datos Regional BRUTOS'!T$25</f>
        <v>70.8746699468845</v>
      </c>
      <c r="U4" s="0" t="n">
        <f aca="false">'Datos Regional BRUTOS'!U4*'Datos Regional BRUTOS'!U$25</f>
        <v>102.86381854014</v>
      </c>
      <c r="V4" s="0" t="n">
        <f aca="false">'Datos Regional BRUTOS'!V4*'Datos Regional BRUTOS'!V$25</f>
        <v>66.9591575213835</v>
      </c>
      <c r="W4" s="0" t="n">
        <f aca="false">'Datos Regional BRUTOS'!W4*'Datos Regional BRUTOS'!W$25</f>
        <v>89.2739715918686</v>
      </c>
      <c r="X4" s="0" t="n">
        <f aca="false">'Datos Regional BRUTOS'!X4*'Datos Regional BRUTOS'!X$25</f>
        <v>51.9115731377757</v>
      </c>
      <c r="Y4" s="0" t="n">
        <f aca="false">'Datos Regional BRUTOS'!Y4*'Datos Regional BRUTOS'!Y$25</f>
        <v>150.845627218817</v>
      </c>
      <c r="Z4" s="0" t="n">
        <f aca="false">'Datos Regional BRUTOS'!Z4*'Datos Regional BRUTOS'!Z$25</f>
        <v>20.454496673926</v>
      </c>
      <c r="AA4" s="0" t="n">
        <f aca="false">'Datos Regional BRUTOS'!AA4*'Datos Regional BRUTOS'!AA$25</f>
        <v>180.976506822796</v>
      </c>
      <c r="AB4" s="0" t="n">
        <f aca="false">'Datos Regional BRUTOS'!AB4*'Datos Regional BRUTOS'!AB$25</f>
        <v>123.822415258836</v>
      </c>
      <c r="AC4" s="0" t="n">
        <f aca="false">'Datos Regional BRUTOS'!AC4*'Datos Regional BRUTOS'!AC$25</f>
        <v>93.6185653559213</v>
      </c>
      <c r="AD4" s="0" t="n">
        <f aca="false">'Datos Regional BRUTOS'!AD4*'Datos Regional BRUTOS'!AD$25</f>
        <v>44.4214891872484</v>
      </c>
      <c r="AE4" s="0" t="n">
        <f aca="false">'Datos Regional BRUTOS'!AE4*'Datos Regional BRUTOS'!AE$25</f>
        <v>168.559701702174</v>
      </c>
      <c r="AF4" s="0" t="n">
        <f aca="false">'Datos Regional BRUTOS'!AF4*'Datos Regional BRUTOS'!AF$25</f>
        <v>34.3631020492372</v>
      </c>
      <c r="AG4" s="0" t="n">
        <f aca="false">'Datos Regional BRUTOS'!AG4*'Datos Regional BRUTOS'!AG$25</f>
        <v>110.709306644799</v>
      </c>
      <c r="AH4" s="0" t="n">
        <f aca="false">'Datos Regional BRUTOS'!AH4*'Datos Regional BRUTOS'!AH$25</f>
        <v>60.9279411402017</v>
      </c>
      <c r="AI4" s="0" t="n">
        <f aca="false">'Datos Regional BRUTOS'!AI4*'Datos Regional BRUTOS'!AI$25</f>
        <v>123.997598260389</v>
      </c>
      <c r="AJ4" s="0" t="n">
        <f aca="false">'Datos Regional BRUTOS'!AJ4*'Datos Regional BRUTOS'!AJ$25</f>
        <v>68.8292696043153</v>
      </c>
      <c r="AK4" s="0" t="n">
        <f aca="false">'Datos Regional BRUTOS'!AK4*'Datos Regional BRUTOS'!AK$25</f>
        <v>126.547655226229</v>
      </c>
      <c r="AL4" s="0" t="n">
        <f aca="false">'Datos Regional BRUTOS'!AL4*'Datos Regional BRUTOS'!AL$25</f>
        <v>182.537393229018</v>
      </c>
      <c r="AM4" s="0" t="n">
        <f aca="false">'Datos Regional BRUTOS'!AM4*'Datos Regional BRUTOS'!AM$25</f>
        <v>30.3245369942726</v>
      </c>
      <c r="AN4" s="0" t="n">
        <f aca="false">'Datos Regional BRUTOS'!AN4*'Datos Regional BRUTOS'!AN$25</f>
        <v>57.0685306556282</v>
      </c>
      <c r="AO4" s="0" t="n">
        <f aca="false">'Datos Regional BRUTOS'!AO4*'Datos Regional BRUTOS'!AO$25</f>
        <v>174.229449453965</v>
      </c>
      <c r="AP4" s="0" t="n">
        <f aca="false">'Datos Regional BRUTOS'!AP4*'Datos Regional BRUTOS'!AP$25</f>
        <v>107.237722038552</v>
      </c>
      <c r="AQ4" s="0" t="n">
        <f aca="false">'Datos Regional BRUTOS'!AQ4*'Datos Regional BRUTOS'!AQ$25</f>
        <v>74.6525335780192</v>
      </c>
      <c r="AR4" s="0" t="n">
        <f aca="false">'Datos Regional BRUTOS'!AR4*'Datos Regional BRUTOS'!AR$25</f>
        <v>27.2781733000924</v>
      </c>
      <c r="AS4" s="0" t="n">
        <f aca="false">'Datos Regional BRUTOS'!AS4*'Datos Regional BRUTOS'!AS$25</f>
        <v>70.19781372335</v>
      </c>
      <c r="AT4" s="0" t="n">
        <f aca="false">'Datos Regional BRUTOS'!AT4*'Datos Regional BRUTOS'!AT$25</f>
        <v>119.661182751403</v>
      </c>
      <c r="AU4" s="0" t="n">
        <f aca="false">'Datos Regional BRUTOS'!AU4*'Datos Regional BRUTOS'!AU$25</f>
        <v>28.8642789866283</v>
      </c>
      <c r="AV4" s="0" t="n">
        <f aca="false">'Datos Regional BRUTOS'!AV4*'Datos Regional BRUTOS'!AV$25</f>
        <v>48.7057058772511</v>
      </c>
      <c r="AW4" s="0" t="n">
        <f aca="false">'Datos Regional BRUTOS'!AW4*'Datos Regional BRUTOS'!AW$25</f>
        <v>136.236890280048</v>
      </c>
      <c r="AX4" s="0" t="n">
        <f aca="false">'Datos Regional BRUTOS'!AX4*'Datos Regional BRUTOS'!AX$25</f>
        <v>23.8710913358361</v>
      </c>
      <c r="AY4" s="0" t="n">
        <f aca="false">'Datos Regional BRUTOS'!AY4*'Datos Regional BRUTOS'!AY$25</f>
        <v>54.3441580636911</v>
      </c>
      <c r="AZ4" s="0" t="n">
        <f aca="false">'Datos Regional BRUTOS'!AZ4*'Datos Regional BRUTOS'!AZ$25</f>
        <v>112.525106267638</v>
      </c>
      <c r="BA4" s="0" t="n">
        <f aca="false">'Datos Regional BRUTOS'!BA4*'Datos Regional BRUTOS'!BA$25</f>
        <v>65.5178837849882</v>
      </c>
      <c r="BB4" s="0" t="n">
        <f aca="false">'Datos Regional BRUTOS'!BB4*'Datos Regional BRUTOS'!BB$25</f>
        <v>101.813189830188</v>
      </c>
      <c r="BC4" s="0" t="n">
        <f aca="false">'Datos Regional BRUTOS'!BC4*'Datos Regional BRUTOS'!BC$25</f>
        <v>133.762987601027</v>
      </c>
      <c r="BD4" s="0" t="n">
        <f aca="false">'Datos Regional BRUTOS'!BD4*'Datos Regional BRUTOS'!BD$25</f>
        <v>105.376543308224</v>
      </c>
      <c r="BE4" s="0" t="n">
        <f aca="false">'Datos Regional BRUTOS'!BE4*'Datos Regional BRUTOS'!BE$25</f>
        <v>54.3548645128754</v>
      </c>
      <c r="BF4" s="10" t="n">
        <f aca="false">AVERAGE(B4:BE4)</f>
        <v>90.013784828052</v>
      </c>
      <c r="BG4" s="0" t="n">
        <v>90.013784828052</v>
      </c>
    </row>
    <row r="5" customFormat="false" ht="15" hidden="false" customHeight="false" outlineLevel="0" collapsed="false">
      <c r="A5" s="4" t="s">
        <v>59</v>
      </c>
      <c r="B5" s="0" t="n">
        <f aca="false">'Datos Regional BRUTOS'!B5*'Datos Regional BRUTOS'!B$25</f>
        <v>0</v>
      </c>
      <c r="C5" s="0" t="n">
        <f aca="false">'Datos Regional BRUTOS'!C5*'Datos Regional BRUTOS'!C$25</f>
        <v>0</v>
      </c>
      <c r="D5" s="0" t="n">
        <f aca="false">'Datos Regional BRUTOS'!D5*'Datos Regional BRUTOS'!D$25</f>
        <v>56.8861162053187</v>
      </c>
      <c r="E5" s="0" t="n">
        <f aca="false">'Datos Regional BRUTOS'!E5*'Datos Regional BRUTOS'!E$25</f>
        <v>54.1881394047868</v>
      </c>
      <c r="F5" s="0" t="n">
        <f aca="false">'Datos Regional BRUTOS'!F5*'Datos Regional BRUTOS'!F$25</f>
        <v>0</v>
      </c>
      <c r="G5" s="0" t="n">
        <f aca="false">'Datos Regional BRUTOS'!G5*'Datos Regional BRUTOS'!G$25</f>
        <v>124.500886793785</v>
      </c>
      <c r="H5" s="0" t="n">
        <f aca="false">'Datos Regional BRUTOS'!H5*'Datos Regional BRUTOS'!H$25</f>
        <v>57.3317258259335</v>
      </c>
      <c r="I5" s="0" t="n">
        <f aca="false">'Datos Regional BRUTOS'!I5*'Datos Regional BRUTOS'!I$25</f>
        <v>147.642721932182</v>
      </c>
      <c r="J5" s="0" t="n">
        <f aca="false">'Datos Regional BRUTOS'!J5*'Datos Regional BRUTOS'!J$25</f>
        <v>41.9305293018093</v>
      </c>
      <c r="K5" s="0" t="n">
        <f aca="false">'Datos Regional BRUTOS'!K5*'Datos Regional BRUTOS'!K$25</f>
        <v>65.5272410184996</v>
      </c>
      <c r="L5" s="0" t="n">
        <f aca="false">'Datos Regional BRUTOS'!L5*'Datos Regional BRUTOS'!L$25</f>
        <v>40.3489139972967</v>
      </c>
      <c r="M5" s="0" t="n">
        <f aca="false">'Datos Regional BRUTOS'!M5*'Datos Regional BRUTOS'!M$25</f>
        <v>15.1793533337247</v>
      </c>
      <c r="N5" s="0" t="n">
        <f aca="false">'Datos Regional BRUTOS'!N5*'Datos Regional BRUTOS'!N$25</f>
        <v>0</v>
      </c>
      <c r="O5" s="0" t="n">
        <f aca="false">'Datos Regional BRUTOS'!O5*'Datos Regional BRUTOS'!O$25</f>
        <v>39.3714729840386</v>
      </c>
      <c r="P5" s="0" t="n">
        <f aca="false">'Datos Regional BRUTOS'!P5*'Datos Regional BRUTOS'!P$25</f>
        <v>41.4928495159409</v>
      </c>
      <c r="Q5" s="0" t="n">
        <f aca="false">'Datos Regional BRUTOS'!Q5*'Datos Regional BRUTOS'!Q$25</f>
        <v>124.006698424218</v>
      </c>
      <c r="R5" s="0" t="n">
        <f aca="false">'Datos Regional BRUTOS'!R5*'Datos Regional BRUTOS'!R$25</f>
        <v>11.4356402550727</v>
      </c>
      <c r="S5" s="0" t="n">
        <f aca="false">'Datos Regional BRUTOS'!S5*'Datos Regional BRUTOS'!S$25</f>
        <v>11.3495625272893</v>
      </c>
      <c r="T5" s="0" t="n">
        <f aca="false">'Datos Regional BRUTOS'!T5*'Datos Regional BRUTOS'!T$25</f>
        <v>77.6492734350295</v>
      </c>
      <c r="U5" s="0" t="n">
        <f aca="false">'Datos Regional BRUTOS'!U5*'Datos Regional BRUTOS'!U$25</f>
        <v>30.0174811489459</v>
      </c>
      <c r="V5" s="0" t="n">
        <f aca="false">'Datos Regional BRUTOS'!V5*'Datos Regional BRUTOS'!V$25</f>
        <v>15.7550958873843</v>
      </c>
      <c r="W5" s="0" t="n">
        <f aca="false">'Datos Regional BRUTOS'!W5*'Datos Regional BRUTOS'!W$25</f>
        <v>0</v>
      </c>
      <c r="X5" s="0" t="n">
        <f aca="false">'Datos Regional BRUTOS'!X5*'Datos Regional BRUTOS'!X$25</f>
        <v>20.4500136603359</v>
      </c>
      <c r="Y5" s="0" t="n">
        <f aca="false">'Datos Regional BRUTOS'!Y5*'Datos Regional BRUTOS'!Y$25</f>
        <v>0</v>
      </c>
      <c r="Z5" s="0" t="n">
        <f aca="false">'Datos Regional BRUTOS'!Z5*'Datos Regional BRUTOS'!Z$25</f>
        <v>27.2726622319013</v>
      </c>
      <c r="AA5" s="0" t="n">
        <f aca="false">'Datos Regional BRUTOS'!AA5*'Datos Regional BRUTOS'!AA$25</f>
        <v>0</v>
      </c>
      <c r="AB5" s="0" t="n">
        <f aca="false">'Datos Regional BRUTOS'!AB5*'Datos Regional BRUTOS'!AB$25</f>
        <v>26.2295078773279</v>
      </c>
      <c r="AC5" s="0" t="n">
        <f aca="false">'Datos Regional BRUTOS'!AC5*'Datos Regional BRUTOS'!AC$25</f>
        <v>8.92449606625654</v>
      </c>
      <c r="AD5" s="0" t="n">
        <f aca="false">'Datos Regional BRUTOS'!AD5*'Datos Regional BRUTOS'!AD$25</f>
        <v>24.7561241586062</v>
      </c>
      <c r="AE5" s="0" t="n">
        <f aca="false">'Datos Regional BRUTOS'!AE5*'Datos Regional BRUTOS'!AE$25</f>
        <v>29.2170234700157</v>
      </c>
      <c r="AF5" s="0" t="n">
        <f aca="false">'Datos Regional BRUTOS'!AF5*'Datos Regional BRUTOS'!AF$25</f>
        <v>86.3039546189191</v>
      </c>
      <c r="AG5" s="0" t="n">
        <f aca="false">'Datos Regional BRUTOS'!AG5*'Datos Regional BRUTOS'!AG$25</f>
        <v>0</v>
      </c>
      <c r="AH5" s="0" t="n">
        <f aca="false">'Datos Regional BRUTOS'!AH5*'Datos Regional BRUTOS'!AH$25</f>
        <v>45.5848590132954</v>
      </c>
      <c r="AI5" s="0" t="n">
        <f aca="false">'Datos Regional BRUTOS'!AI5*'Datos Regional BRUTOS'!AI$25</f>
        <v>66.9247857298453</v>
      </c>
      <c r="AJ5" s="0" t="n">
        <f aca="false">'Datos Regional BRUTOS'!AJ5*'Datos Regional BRUTOS'!AJ$25</f>
        <v>66.2663738244258</v>
      </c>
      <c r="AK5" s="0" t="n">
        <f aca="false">'Datos Regional BRUTOS'!AK5*'Datos Regional BRUTOS'!AK$25</f>
        <v>58.2792113413066</v>
      </c>
      <c r="AL5" s="0" t="n">
        <f aca="false">'Datos Regional BRUTOS'!AL5*'Datos Regional BRUTOS'!AL$25</f>
        <v>0</v>
      </c>
      <c r="AM5" s="0" t="n">
        <f aca="false">'Datos Regional BRUTOS'!AM5*'Datos Regional BRUTOS'!AM$25</f>
        <v>0</v>
      </c>
      <c r="AN5" s="0" t="n">
        <f aca="false">'Datos Regional BRUTOS'!AN5*'Datos Regional BRUTOS'!AN$25</f>
        <v>15.186228849522</v>
      </c>
      <c r="AO5" s="0" t="n">
        <f aca="false">'Datos Regional BRUTOS'!AO5*'Datos Regional BRUTOS'!AO$25</f>
        <v>79.1618369919859</v>
      </c>
      <c r="AP5" s="0" t="n">
        <f aca="false">'Datos Regional BRUTOS'!AP5*'Datos Regional BRUTOS'!AP$25</f>
        <v>53.3254813332752</v>
      </c>
      <c r="AQ5" s="0" t="n">
        <f aca="false">'Datos Regional BRUTOS'!AQ5*'Datos Regional BRUTOS'!AQ$25</f>
        <v>70.8001986808949</v>
      </c>
      <c r="AR5" s="0" t="n">
        <f aca="false">'Datos Regional BRUTOS'!AR5*'Datos Regional BRUTOS'!AR$25</f>
        <v>42.4078646753856</v>
      </c>
      <c r="AS5" s="0" t="n">
        <f aca="false">'Datos Regional BRUTOS'!AS5*'Datos Regional BRUTOS'!AS$25</f>
        <v>102.69617834773</v>
      </c>
      <c r="AT5" s="0" t="n">
        <f aca="false">'Datos Regional BRUTOS'!AT5*'Datos Regional BRUTOS'!AT$25</f>
        <v>19.019536902878</v>
      </c>
      <c r="AU5" s="0" t="n">
        <f aca="false">'Datos Regional BRUTOS'!AU5*'Datos Regional BRUTOS'!AU$25</f>
        <v>63.040118857096</v>
      </c>
      <c r="AV5" s="0" t="n">
        <f aca="false">'Datos Regional BRUTOS'!AV5*'Datos Regional BRUTOS'!AV$25</f>
        <v>43.3368581930866</v>
      </c>
      <c r="AW5" s="0" t="n">
        <f aca="false">'Datos Regional BRUTOS'!AW5*'Datos Regional BRUTOS'!AW$25</f>
        <v>156.203086866955</v>
      </c>
      <c r="AX5" s="0" t="n">
        <f aca="false">'Datos Regional BRUTOS'!AX5*'Datos Regional BRUTOS'!AX$25</f>
        <v>147.499428114571</v>
      </c>
      <c r="AY5" s="0" t="n">
        <f aca="false">'Datos Regional BRUTOS'!AY5*'Datos Regional BRUTOS'!AY$25</f>
        <v>178.027366608275</v>
      </c>
      <c r="AZ5" s="0" t="n">
        <f aca="false">'Datos Regional BRUTOS'!AZ5*'Datos Regional BRUTOS'!AZ$25</f>
        <v>25.4232645405355</v>
      </c>
      <c r="BA5" s="0" t="n">
        <f aca="false">'Datos Regional BRUTOS'!BA5*'Datos Regional BRUTOS'!BA$25</f>
        <v>153.189070388434</v>
      </c>
      <c r="BB5" s="0" t="n">
        <f aca="false">'Datos Regional BRUTOS'!BB5*'Datos Regional BRUTOS'!BB$25</f>
        <v>49.3162946143799</v>
      </c>
      <c r="BC5" s="0" t="n">
        <f aca="false">'Datos Regional BRUTOS'!BC5*'Datos Regional BRUTOS'!BC$25</f>
        <v>61.0374797791096</v>
      </c>
      <c r="BD5" s="0" t="n">
        <f aca="false">'Datos Regional BRUTOS'!BD5*'Datos Regional BRUTOS'!BD$25</f>
        <v>90.7444100985731</v>
      </c>
      <c r="BE5" s="0" t="n">
        <f aca="false">'Datos Regional BRUTOS'!BE5*'Datos Regional BRUTOS'!BE$25</f>
        <v>38.8425551222555</v>
      </c>
      <c r="BF5" s="10" t="n">
        <f aca="false">AVERAGE(B5:BE5)</f>
        <v>50.0728566597934</v>
      </c>
      <c r="BG5" s="0" t="n">
        <v>50.0728566597934</v>
      </c>
    </row>
    <row r="6" customFormat="false" ht="15" hidden="false" customHeight="false" outlineLevel="0" collapsed="false">
      <c r="A6" s="4" t="s">
        <v>60</v>
      </c>
      <c r="C6" s="0" t="n">
        <f aca="false">'Datos Regional BRUTOS'!C6*'Datos Regional BRUTOS'!C$25</f>
        <v>36.1984650362596</v>
      </c>
      <c r="D6" s="0" t="n">
        <f aca="false">'Datos Regional BRUTOS'!D6*'Datos Regional BRUTOS'!D$25</f>
        <v>143.234180758808</v>
      </c>
      <c r="E6" s="0" t="n">
        <f aca="false">'Datos Regional BRUTOS'!E6*'Datos Regional BRUTOS'!E$25</f>
        <v>46.1175654472666</v>
      </c>
      <c r="F6" s="0" t="n">
        <f aca="false">'Datos Regional BRUTOS'!F6*'Datos Regional BRUTOS'!F$25</f>
        <v>21.7081968839275</v>
      </c>
      <c r="G6" s="0" t="n">
        <f aca="false">'Datos Regional BRUTOS'!G6*'Datos Regional BRUTOS'!G$25</f>
        <v>107.979673041134</v>
      </c>
      <c r="H6" s="0" t="n">
        <f aca="false">'Datos Regional BRUTOS'!H6*'Datos Regional BRUTOS'!H$25</f>
        <v>22.576525898754</v>
      </c>
      <c r="I6" s="0" t="n">
        <f aca="false">'Datos Regional BRUTOS'!I6*'Datos Regional BRUTOS'!I$25</f>
        <v>149.521494172901</v>
      </c>
      <c r="J6" s="0" t="n">
        <f aca="false">'Datos Regional BRUTOS'!J6*'Datos Regional BRUTOS'!J$25</f>
        <v>55.4844403086663</v>
      </c>
      <c r="K6" s="0" t="n">
        <f aca="false">'Datos Regional BRUTOS'!K6*'Datos Regional BRUTOS'!K$25</f>
        <v>49.7756273935187</v>
      </c>
      <c r="L6" s="0" t="n">
        <f aca="false">'Datos Regional BRUTOS'!L6*'Datos Regional BRUTOS'!L$25</f>
        <v>70.9871525529118</v>
      </c>
      <c r="M6" s="0" t="n">
        <f aca="false">'Datos Regional BRUTOS'!M6*'Datos Regional BRUTOS'!M$25</f>
        <v>0</v>
      </c>
      <c r="N6" s="0" t="n">
        <f aca="false">'Datos Regional BRUTOS'!N6*'Datos Regional BRUTOS'!N$25</f>
        <v>30.7907523979366</v>
      </c>
      <c r="O6" s="0" t="n">
        <f aca="false">'Datos Regional BRUTOS'!O6*'Datos Regional BRUTOS'!O$25</f>
        <v>101.010673428002</v>
      </c>
      <c r="P6" s="0" t="n">
        <f aca="false">'Datos Regional BRUTOS'!P6*'Datos Regional BRUTOS'!P$25</f>
        <v>38.4032828651103</v>
      </c>
      <c r="Q6" s="0" t="n">
        <f aca="false">'Datos Regional BRUTOS'!Q6*'Datos Regional BRUTOS'!Q$25</f>
        <v>126.924693935584</v>
      </c>
      <c r="R6" s="0" t="n">
        <f aca="false">'Datos Regional BRUTOS'!R6*'Datos Regional BRUTOS'!R$25</f>
        <v>22.8712805101455</v>
      </c>
      <c r="S6" s="0" t="n">
        <f aca="false">'Datos Regional BRUTOS'!S6*'Datos Regional BRUTOS'!S$25</f>
        <v>90.7965002183148</v>
      </c>
      <c r="T6" s="0" t="n">
        <f aca="false">'Datos Regional BRUTOS'!T6*'Datos Regional BRUTOS'!T$25</f>
        <v>140.566863648565</v>
      </c>
      <c r="U6" s="0" t="n">
        <f aca="false">'Datos Regional BRUTOS'!U6*'Datos Regional BRUTOS'!U$25</f>
        <v>113.765914629238</v>
      </c>
      <c r="V6" s="0" t="n">
        <f aca="false">'Datos Regional BRUTOS'!V6*'Datos Regional BRUTOS'!V$25</f>
        <v>58.0969160847298</v>
      </c>
      <c r="W6" s="0" t="n">
        <f aca="false">'Datos Regional BRUTOS'!W6*'Datos Regional BRUTOS'!W$25</f>
        <v>31.2674538184086</v>
      </c>
      <c r="X6" s="0" t="n">
        <f aca="false">'Datos Regional BRUTOS'!X6*'Datos Regional BRUTOS'!X$25</f>
        <v>84.9462105890875</v>
      </c>
      <c r="Y6" s="0" t="n">
        <f aca="false">'Datos Regional BRUTOS'!Y6*'Datos Regional BRUTOS'!Y$25</f>
        <v>92.505758572223</v>
      </c>
      <c r="Z6" s="0" t="n">
        <f aca="false">'Datos Regional BRUTOS'!Z6*'Datos Regional BRUTOS'!Z$25</f>
        <v>103.977024759124</v>
      </c>
      <c r="AA6" s="0" t="n">
        <f aca="false">'Datos Regional BRUTOS'!AA6*'Datos Regional BRUTOS'!AA$25</f>
        <v>50.515112441194</v>
      </c>
      <c r="AB6" s="0" t="n">
        <f aca="false">'Datos Regional BRUTOS'!AB6*'Datos Regional BRUTOS'!AB$25</f>
        <v>0</v>
      </c>
      <c r="AC6" s="0" t="n">
        <f aca="false">'Datos Regional BRUTOS'!AC6*'Datos Regional BRUTOS'!AC$25</f>
        <v>0</v>
      </c>
      <c r="AD6" s="0" t="n">
        <f aca="false">'Datos Regional BRUTOS'!AD6*'Datos Regional BRUTOS'!AD$25</f>
        <v>86.7709807971146</v>
      </c>
      <c r="AE6" s="0" t="n">
        <f aca="false">'Datos Regional BRUTOS'!AE6*'Datos Regional BRUTOS'!AE$25</f>
        <v>0</v>
      </c>
      <c r="AF6" s="0" t="n">
        <f aca="false">'Datos Regional BRUTOS'!AF6*'Datos Regional BRUTOS'!AF$25</f>
        <v>72.2440990432268</v>
      </c>
      <c r="AG6" s="0" t="n">
        <f aca="false">'Datos Regional BRUTOS'!AG6*'Datos Regional BRUTOS'!AG$25</f>
        <v>25.0425281946375</v>
      </c>
      <c r="AH6" s="0" t="n">
        <f aca="false">'Datos Regional BRUTOS'!AH6*'Datos Regional BRUTOS'!AH$25</f>
        <v>21.7184313714508</v>
      </c>
      <c r="AI6" s="0" t="n">
        <f aca="false">'Datos Regional BRUTOS'!AI6*'Datos Regional BRUTOS'!AI$25</f>
        <v>51.4647231112422</v>
      </c>
      <c r="AJ6" s="0" t="n">
        <f aca="false">'Datos Regional BRUTOS'!AJ6*'Datos Regional BRUTOS'!AJ$25</f>
        <v>86.9755443440283</v>
      </c>
      <c r="AK6" s="0" t="n">
        <f aca="false">'Datos Regional BRUTOS'!AK6*'Datos Regional BRUTOS'!AK$25</f>
        <v>31.3631008758058</v>
      </c>
      <c r="AL6" s="0" t="n">
        <f aca="false">'Datos Regional BRUTOS'!AL6*'Datos Regional BRUTOS'!AL$25</f>
        <v>89.7326175691036</v>
      </c>
      <c r="AM6" s="0" t="n">
        <f aca="false">'Datos Regional BRUTOS'!AM6*'Datos Regional BRUTOS'!AM$25</f>
        <v>82.0436859783695</v>
      </c>
      <c r="AN6" s="0" t="n">
        <f aca="false">'Datos Regional BRUTOS'!AN6*'Datos Regional BRUTOS'!AN$25</f>
        <v>54.8367751215957</v>
      </c>
      <c r="AO6" s="0" t="n">
        <f aca="false">'Datos Regional BRUTOS'!AO6*'Datos Regional BRUTOS'!AO$25</f>
        <v>74.3009231361235</v>
      </c>
      <c r="AP6" s="0" t="n">
        <f aca="false">'Datos Regional BRUTOS'!AP6*'Datos Regional BRUTOS'!AP$25</f>
        <v>49.3172705797351</v>
      </c>
      <c r="AQ6" s="0" t="n">
        <f aca="false">'Datos Regional BRUTOS'!AQ6*'Datos Regional BRUTOS'!AQ$25</f>
        <v>0</v>
      </c>
      <c r="AR6" s="0" t="n">
        <f aca="false">'Datos Regional BRUTOS'!AR6*'Datos Regional BRUTOS'!AR$25</f>
        <v>40.3025787247411</v>
      </c>
      <c r="AS6" s="0" t="n">
        <f aca="false">'Datos Regional BRUTOS'!AS6*'Datos Regional BRUTOS'!AS$25</f>
        <v>171.618381410377</v>
      </c>
      <c r="AT6" s="0" t="n">
        <f aca="false">'Datos Regional BRUTOS'!AT6*'Datos Regional BRUTOS'!AT$25</f>
        <v>114.872942960453</v>
      </c>
      <c r="AU6" s="0" t="n">
        <f aca="false">'Datos Regional BRUTOS'!AU6*'Datos Regional BRUTOS'!AU$25</f>
        <v>4.44727669048383</v>
      </c>
      <c r="AV6" s="0" t="n">
        <f aca="false">'Datos Regional BRUTOS'!AV6*'Datos Regional BRUTOS'!AV$25</f>
        <v>53.9720478811003</v>
      </c>
      <c r="AW6" s="0" t="n">
        <f aca="false">'Datos Regional BRUTOS'!AW6*'Datos Regional BRUTOS'!AW$25</f>
        <v>159.505180607621</v>
      </c>
      <c r="AX6" s="0" t="n">
        <f aca="false">'Datos Regional BRUTOS'!AX6*'Datos Regional BRUTOS'!AX$25</f>
        <v>134.393462420361</v>
      </c>
      <c r="AY6" s="0" t="n">
        <f aca="false">'Datos Regional BRUTOS'!AY6*'Datos Regional BRUTOS'!AY$25</f>
        <v>123.773801027983</v>
      </c>
      <c r="AZ6" s="0" t="n">
        <f aca="false">'Datos Regional BRUTOS'!AZ6*'Datos Regional BRUTOS'!AZ$25</f>
        <v>57.5117353123843</v>
      </c>
      <c r="BA6" s="0" t="n">
        <f aca="false">'Datos Regional BRUTOS'!BA6*'Datos Regional BRUTOS'!BA$25</f>
        <v>0</v>
      </c>
      <c r="BB6" s="0" t="n">
        <f aca="false">'Datos Regional BRUTOS'!BB6*'Datos Regional BRUTOS'!BB$25</f>
        <v>0</v>
      </c>
      <c r="BC6" s="0" t="n">
        <f aca="false">'Datos Regional BRUTOS'!BC6*'Datos Regional BRUTOS'!BC$25</f>
        <v>51.9467913013699</v>
      </c>
      <c r="BD6" s="0" t="n">
        <f aca="false">'Datos Regional BRUTOS'!BD6*'Datos Regional BRUTOS'!BD$25</f>
        <v>0</v>
      </c>
      <c r="BE6" s="0" t="n">
        <f aca="false">'Datos Regional BRUTOS'!BE6*'Datos Regional BRUTOS'!BE$25</f>
        <v>77.549766922984</v>
      </c>
      <c r="BF6" s="10" t="n">
        <f aca="false">AVERAGE(B6:BE6)</f>
        <v>63.7404800868019</v>
      </c>
      <c r="BG6" s="0" t="n">
        <v>63.7404800868019</v>
      </c>
    </row>
    <row r="7" customFormat="false" ht="15" hidden="false" customHeight="false" outlineLevel="0" collapsed="false">
      <c r="A7" s="4" t="s">
        <v>61</v>
      </c>
      <c r="B7" s="0" t="n">
        <f aca="false">'Datos Regional BRUTOS'!B7*'Datos Regional BRUTOS'!B$25</f>
        <v>81.0108528160762</v>
      </c>
      <c r="D7" s="0" t="n">
        <f aca="false">'Datos Regional BRUTOS'!D7*'Datos Regional BRUTOS'!D$25</f>
        <v>110.863020317286</v>
      </c>
      <c r="E7" s="0" t="n">
        <f aca="false">'Datos Regional BRUTOS'!E7*'Datos Regional BRUTOS'!E$25</f>
        <v>23.0587827159086</v>
      </c>
      <c r="F7" s="0" t="n">
        <f aca="false">'Datos Regional BRUTOS'!F7*'Datos Regional BRUTOS'!F$25</f>
        <v>16.8841531251899</v>
      </c>
      <c r="G7" s="0" t="n">
        <f aca="false">'Datos Regional BRUTOS'!G7*'Datos Regional BRUTOS'!G$25</f>
        <v>105.162818521155</v>
      </c>
      <c r="H7" s="0" t="n">
        <f aca="false">'Datos Regional BRUTOS'!H7*'Datos Regional BRUTOS'!H$25</f>
        <v>25.6178539187987</v>
      </c>
      <c r="I7" s="0" t="n">
        <f aca="false">'Datos Regional BRUTOS'!I7*'Datos Regional BRUTOS'!I$25</f>
        <v>131.437329398429</v>
      </c>
      <c r="J7" s="0" t="n">
        <f aca="false">'Datos Regional BRUTOS'!J7*'Datos Regional BRUTOS'!J$25</f>
        <v>119.24299644471</v>
      </c>
      <c r="K7" s="0" t="n">
        <f aca="false">'Datos Regional BRUTOS'!K7*'Datos Regional BRUTOS'!K$25</f>
        <v>105.99516855934</v>
      </c>
      <c r="L7" s="0" t="n">
        <f aca="false">'Datos Regional BRUTOS'!L7*'Datos Regional BRUTOS'!L$25</f>
        <v>131.908749471378</v>
      </c>
      <c r="M7" s="0" t="n">
        <f aca="false">'Datos Regional BRUTOS'!M7*'Datos Regional BRUTOS'!M$25</f>
        <v>130.507543604897</v>
      </c>
      <c r="N7" s="0" t="n">
        <f aca="false">'Datos Regional BRUTOS'!N7*'Datos Regional BRUTOS'!N$25</f>
        <v>138.859523674045</v>
      </c>
      <c r="O7" s="0" t="n">
        <f aca="false">'Datos Regional BRUTOS'!O7*'Datos Regional BRUTOS'!O$25</f>
        <v>20.6793632471211</v>
      </c>
      <c r="P7" s="0" t="n">
        <f aca="false">'Datos Regional BRUTOS'!P7*'Datos Regional BRUTOS'!P$25</f>
        <v>3.61400943028523</v>
      </c>
      <c r="Q7" s="0" t="n">
        <f aca="false">'Datos Regional BRUTOS'!Q7*'Datos Regional BRUTOS'!Q$25</f>
        <v>159.782034527096</v>
      </c>
      <c r="R7" s="0" t="n">
        <f aca="false">'Datos Regional BRUTOS'!R7*'Datos Regional BRUTOS'!R$25</f>
        <v>0</v>
      </c>
      <c r="S7" s="0" t="n">
        <f aca="false">'Datos Regional BRUTOS'!S7*'Datos Regional BRUTOS'!S$25</f>
        <v>47.1902862976768</v>
      </c>
      <c r="T7" s="0" t="n">
        <f aca="false">'Datos Regional BRUTOS'!T7*'Datos Regional BRUTOS'!T$25</f>
        <v>107.654608157068</v>
      </c>
      <c r="U7" s="0" t="n">
        <f aca="false">'Datos Regional BRUTOS'!U7*'Datos Regional BRUTOS'!U$25</f>
        <v>110.037736692034</v>
      </c>
      <c r="V7" s="0" t="n">
        <f aca="false">'Datos Regional BRUTOS'!V7*'Datos Regional BRUTOS'!V$25</f>
        <v>40.3724332114224</v>
      </c>
      <c r="W7" s="0" t="n">
        <f aca="false">'Datos Regional BRUTOS'!W7*'Datos Regional BRUTOS'!W$25</f>
        <v>71.3208037510792</v>
      </c>
      <c r="X7" s="0" t="n">
        <f aca="false">'Datos Regional BRUTOS'!X7*'Datos Regional BRUTOS'!X$25</f>
        <v>40.9000273206718</v>
      </c>
      <c r="Y7" s="0" t="n">
        <f aca="false">'Datos Regional BRUTOS'!Y7*'Datos Regional BRUTOS'!Y$25</f>
        <v>183.249502695451</v>
      </c>
      <c r="Z7" s="0" t="n">
        <f aca="false">'Datos Regional BRUTOS'!Z7*'Datos Regional BRUTOS'!Z$25</f>
        <v>27.2726622319013</v>
      </c>
      <c r="AA7" s="0" t="n">
        <f aca="false">'Datos Regional BRUTOS'!AA7*'Datos Regional BRUTOS'!AA$25</f>
        <v>154.351732459204</v>
      </c>
      <c r="AB7" s="0" t="n">
        <f aca="false">'Datos Regional BRUTOS'!AB7*'Datos Regional BRUTOS'!AB$25</f>
        <v>56.5176788733878</v>
      </c>
      <c r="AC7" s="0" t="n">
        <f aca="false">'Datos Regional BRUTOS'!AC7*'Datos Regional BRUTOS'!AC$25</f>
        <v>57.8209030814623</v>
      </c>
      <c r="AD7" s="0" t="n">
        <f aca="false">'Datos Regional BRUTOS'!AD7*'Datos Regional BRUTOS'!AD$25</f>
        <v>3.22239038297901</v>
      </c>
      <c r="AE7" s="0" t="n">
        <f aca="false">'Datos Regional BRUTOS'!AE7*'Datos Regional BRUTOS'!AE$25</f>
        <v>156.327555873228</v>
      </c>
      <c r="AF7" s="0" t="n">
        <f aca="false">'Datos Regional BRUTOS'!AF7*'Datos Regional BRUTOS'!AF$25</f>
        <v>66.7976550117489</v>
      </c>
      <c r="AG7" s="0" t="n">
        <f aca="false">'Datos Regional BRUTOS'!AG7*'Datos Regional BRUTOS'!AG$25</f>
        <v>68.0991134561076</v>
      </c>
      <c r="AH7" s="0" t="n">
        <f aca="false">'Datos Regional BRUTOS'!AH7*'Datos Regional BRUTOS'!AH$25</f>
        <v>133.414381451923</v>
      </c>
      <c r="AI7" s="0" t="n">
        <f aca="false">'Datos Regional BRUTOS'!AI7*'Datos Regional BRUTOS'!AI$25</f>
        <v>86.0617682368987</v>
      </c>
      <c r="AJ7" s="0" t="n">
        <f aca="false">'Datos Regional BRUTOS'!AJ7*'Datos Regional BRUTOS'!AJ$25</f>
        <v>39.8095215670093</v>
      </c>
      <c r="AK7" s="0" t="n">
        <f aca="false">'Datos Regional BRUTOS'!AK7*'Datos Regional BRUTOS'!AK$25</f>
        <v>119.48350046178</v>
      </c>
      <c r="AL7" s="0" t="n">
        <f aca="false">'Datos Regional BRUTOS'!AL7*'Datos Regional BRUTOS'!AL$25</f>
        <v>136.455021866854</v>
      </c>
      <c r="AM7" s="0" t="n">
        <f aca="false">'Datos Regional BRUTOS'!AM7*'Datos Regional BRUTOS'!AM$25</f>
        <v>17.2087096439891</v>
      </c>
      <c r="AN7" s="0" t="n">
        <f aca="false">'Datos Regional BRUTOS'!AN7*'Datos Regional BRUTOS'!AN$25</f>
        <v>25.8797553216356</v>
      </c>
      <c r="AO7" s="0" t="n">
        <f aca="false">'Datos Regional BRUTOS'!AO7*'Datos Regional BRUTOS'!AO$25</f>
        <v>128.044596488702</v>
      </c>
      <c r="AP7" s="0" t="n">
        <f aca="false">'Datos Regional BRUTOS'!AP7*'Datos Regional BRUTOS'!AP$25</f>
        <v>51.9731255513746</v>
      </c>
      <c r="AQ7" s="0" t="n">
        <f aca="false">'Datos Regional BRUTOS'!AQ7*'Datos Regional BRUTOS'!AQ$25</f>
        <v>72.6575182402898</v>
      </c>
      <c r="AR7" s="0" t="n">
        <f aca="false">'Datos Regional BRUTOS'!AR7*'Datos Regional BRUTOS'!AR$25</f>
        <v>70.366744681201</v>
      </c>
      <c r="AS7" s="0" t="n">
        <f aca="false">'Datos Regional BRUTOS'!AS7*'Datos Regional BRUTOS'!AS$25</f>
        <v>135.599932813417</v>
      </c>
      <c r="AT7" s="0" t="n">
        <f aca="false">'Datos Regional BRUTOS'!AT7*'Datos Regional BRUTOS'!AT$25</f>
        <v>139.86385463756</v>
      </c>
      <c r="AU7" s="0" t="n">
        <f aca="false">'Datos Regional BRUTOS'!AU7*'Datos Regional BRUTOS'!AU$25</f>
        <v>79.9473458557261</v>
      </c>
      <c r="AV7" s="0" t="n">
        <f aca="false">'Datos Regional BRUTOS'!AV7*'Datos Regional BRUTOS'!AV$25</f>
        <v>65.1335242180924</v>
      </c>
      <c r="AW7" s="0" t="n">
        <f aca="false">'Datos Regional BRUTOS'!AW7*'Datos Regional BRUTOS'!AW$25</f>
        <v>120.891621370882</v>
      </c>
      <c r="AX7" s="0" t="n">
        <f aca="false">'Datos Regional BRUTOS'!AX7*'Datos Regional BRUTOS'!AX$25</f>
        <v>35.0404517705305</v>
      </c>
      <c r="AY7" s="0" t="n">
        <f aca="false">'Datos Regional BRUTOS'!AY7*'Datos Regional BRUTOS'!AY$25</f>
        <v>57.9872042388907</v>
      </c>
      <c r="AZ7" s="0" t="n">
        <f aca="false">'Datos Regional BRUTOS'!AZ7*'Datos Regional BRUTOS'!AZ$25</f>
        <v>107.106081576276</v>
      </c>
      <c r="BA7" s="0" t="n">
        <f aca="false">'Datos Regional BRUTOS'!BA7*'Datos Regional BRUTOS'!BA$25</f>
        <v>20.0377396207375</v>
      </c>
      <c r="BB7" s="0" t="n">
        <f aca="false">'Datos Regional BRUTOS'!BB7*'Datos Regional BRUTOS'!BB$25</f>
        <v>120.346564932715</v>
      </c>
      <c r="BC7" s="0" t="n">
        <f aca="false">'Datos Regional BRUTOS'!BC7*'Datos Regional BRUTOS'!BC$25</f>
        <v>25.9733956506849</v>
      </c>
      <c r="BD7" s="0" t="n">
        <f aca="false">'Datos Regional BRUTOS'!BD7*'Datos Regional BRUTOS'!BD$25</f>
        <v>94.4272543971883</v>
      </c>
      <c r="BE7" s="0" t="n">
        <f aca="false">'Datos Regional BRUTOS'!BE7*'Datos Regional BRUTOS'!BE$25</f>
        <v>29.2855868322194</v>
      </c>
      <c r="BF7" s="10" t="n">
        <f aca="false">AVERAGE(B7:BE7)</f>
        <v>80.1591725580675</v>
      </c>
      <c r="BG7" s="0" t="n">
        <v>80.1591725580675</v>
      </c>
    </row>
    <row r="8" customFormat="false" ht="15" hidden="false" customHeight="false" outlineLevel="0" collapsed="false">
      <c r="A8" s="4" t="s">
        <v>62</v>
      </c>
      <c r="B8" s="0" t="n">
        <f aca="false">'Datos Regional BRUTOS'!B8*'Datos Regional BRUTOS'!B$25</f>
        <v>16.6995551621249</v>
      </c>
      <c r="C8" s="0" t="n">
        <f aca="false">'Datos Regional BRUTOS'!C8*'Datos Regional BRUTOS'!C$25</f>
        <v>3.50280755787667</v>
      </c>
      <c r="D8" s="0" t="n">
        <f aca="false">'Datos Regional BRUTOS'!D8*'Datos Regional BRUTOS'!D$25</f>
        <v>91.6341281977605</v>
      </c>
      <c r="E8" s="0" t="n">
        <f aca="false">'Datos Regional BRUTOS'!E8*'Datos Regional BRUTOS'!E$25</f>
        <v>26.5176001240673</v>
      </c>
      <c r="F8" s="0" t="n">
        <f aca="false">'Datos Regional BRUTOS'!F8*'Datos Regional BRUTOS'!F$25</f>
        <v>45.828415632028</v>
      </c>
      <c r="G8" s="0" t="n">
        <f aca="false">'Datos Regional BRUTOS'!G8*'Datos Regional BRUTOS'!G$25</f>
        <v>148.541768810131</v>
      </c>
      <c r="H8" s="0" t="n">
        <f aca="false">'Datos Regional BRUTOS'!H8*'Datos Regional BRUTOS'!H$25</f>
        <v>17.8518618700112</v>
      </c>
      <c r="I8" s="0" t="n">
        <f aca="false">'Datos Regional BRUTOS'!I8*'Datos Regional BRUTOS'!I$25</f>
        <v>0</v>
      </c>
      <c r="J8" s="0" t="n">
        <f aca="false">'Datos Regional BRUTOS'!J8*'Datos Regional BRUTOS'!J$25</f>
        <v>146.809025538735</v>
      </c>
      <c r="K8" s="0" t="n">
        <f aca="false">'Datos Regional BRUTOS'!K8*'Datos Regional BRUTOS'!K$25</f>
        <v>48.3066905937277</v>
      </c>
      <c r="L8" s="0" t="n">
        <f aca="false">'Datos Regional BRUTOS'!L8*'Datos Regional BRUTOS'!L$25</f>
        <v>76.9432887957536</v>
      </c>
      <c r="M8" s="0" t="n">
        <f aca="false">'Datos Regional BRUTOS'!M8*'Datos Regional BRUTOS'!M$25</f>
        <v>179.098921805384</v>
      </c>
      <c r="N8" s="0" t="n">
        <f aca="false">'Datos Regional BRUTOS'!N8*'Datos Regional BRUTOS'!N$25</f>
        <v>59.5069295980375</v>
      </c>
      <c r="O8" s="0" t="n">
        <f aca="false">'Datos Regional BRUTOS'!O8*'Datos Regional BRUTOS'!O$25</f>
        <v>74.4307459989851</v>
      </c>
      <c r="P8" s="0" t="n">
        <f aca="false">'Datos Regional BRUTOS'!P8*'Datos Regional BRUTOS'!P$25</f>
        <v>42.4022651304312</v>
      </c>
      <c r="Q8" s="0" t="n">
        <f aca="false">'Datos Regional BRUTOS'!Q8*'Datos Regional BRUTOS'!Q$25</f>
        <v>123.147784867413</v>
      </c>
      <c r="R8" s="0" t="n">
        <f aca="false">'Datos Regional BRUTOS'!R8*'Datos Regional BRUTOS'!R$25</f>
        <v>11.4356402550727</v>
      </c>
      <c r="S8" s="0" t="n">
        <f aca="false">'Datos Regional BRUTOS'!S8*'Datos Regional BRUTOS'!S$25</f>
        <v>54.3584310517542</v>
      </c>
      <c r="T8" s="0" t="n">
        <f aca="false">'Datos Regional BRUTOS'!T8*'Datos Regional BRUTOS'!T$25</f>
        <v>101.939306305251</v>
      </c>
      <c r="U8" s="0" t="n">
        <f aca="false">'Datos Regional BRUTOS'!U8*'Datos Regional BRUTOS'!U$25</f>
        <v>127.368115345584</v>
      </c>
      <c r="V8" s="0" t="n">
        <f aca="false">'Datos Regional BRUTOS'!V8*'Datos Regional BRUTOS'!V$25</f>
        <v>56.1275290988067</v>
      </c>
      <c r="W8" s="0" t="n">
        <f aca="false">'Datos Regional BRUTOS'!W8*'Datos Regional BRUTOS'!W$25</f>
        <v>0</v>
      </c>
      <c r="X8" s="0" t="n">
        <f aca="false">'Datos Regional BRUTOS'!X8*'Datos Regional BRUTOS'!X$25</f>
        <v>40.9000273206718</v>
      </c>
      <c r="Y8" s="0" t="n">
        <f aca="false">'Datos Regional BRUTOS'!Y8*'Datos Regional BRUTOS'!Y$25</f>
        <v>162.754492525565</v>
      </c>
      <c r="Z8" s="0" t="n">
        <f aca="false">'Datos Regional BRUTOS'!Z8*'Datos Regional BRUTOS'!Z$25</f>
        <v>23.8635794529137</v>
      </c>
      <c r="AA8" s="0" t="n">
        <f aca="false">'Datos Regional BRUTOS'!AA8*'Datos Regional BRUTOS'!AA$25</f>
        <v>166.7132348423</v>
      </c>
      <c r="AB8" s="0" t="n">
        <f aca="false">'Datos Regional BRUTOS'!AB8*'Datos Regional BRUTOS'!AB$25</f>
        <v>83.6235992158139</v>
      </c>
      <c r="AC8" s="0" t="n">
        <f aca="false">'Datos Regional BRUTOS'!AC8*'Datos Regional BRUTOS'!AC$25</f>
        <v>63.9792269688328</v>
      </c>
      <c r="AD8" s="0" t="n">
        <f aca="false">'Datos Regional BRUTOS'!AD8*'Datos Regional BRUTOS'!AD$25</f>
        <v>76.1578403379032</v>
      </c>
      <c r="AE8" s="0" t="n">
        <f aca="false">'Datos Regional BRUTOS'!AE8*'Datos Regional BRUTOS'!AE$25</f>
        <v>79.1760337888615</v>
      </c>
      <c r="AF8" s="0" t="n">
        <f aca="false">'Datos Regional BRUTOS'!AF8*'Datos Regional BRUTOS'!AF$25</f>
        <v>109.610845958394</v>
      </c>
      <c r="AG8" s="0" t="n">
        <f aca="false">'Datos Regional BRUTOS'!AG8*'Datos Regional BRUTOS'!AG$25</f>
        <v>87.0583368836944</v>
      </c>
      <c r="AH8" s="0" t="n">
        <f aca="false">'Datos Regional BRUTOS'!AH8*'Datos Regional BRUTOS'!AH$25</f>
        <v>174.941558920398</v>
      </c>
      <c r="AI8" s="0" t="n">
        <f aca="false">'Datos Regional BRUTOS'!AI8*'Datos Regional BRUTOS'!AI$25</f>
        <v>60.9911898976928</v>
      </c>
      <c r="AJ8" s="0" t="n">
        <f aca="false">'Datos Regional BRUTOS'!AJ8*'Datos Regional BRUTOS'!AJ$25</f>
        <v>46.5067897605415</v>
      </c>
      <c r="AK8" s="0" t="n">
        <f aca="false">'Datos Regional BRUTOS'!AK8*'Datos Regional BRUTOS'!AK$25</f>
        <v>135.212032764833</v>
      </c>
      <c r="AL8" s="0" t="n">
        <f aca="false">'Datos Regional BRUTOS'!AL8*'Datos Regional BRUTOS'!AL$25</f>
        <v>150.791759623971</v>
      </c>
      <c r="AM8" s="0" t="n">
        <f aca="false">'Datos Regional BRUTOS'!AM8*'Datos Regional BRUTOS'!AM$25</f>
        <v>27.0688351697342</v>
      </c>
      <c r="AN8" s="0" t="n">
        <f aca="false">'Datos Regional BRUTOS'!AN8*'Datos Regional BRUTOS'!AN$25</f>
        <v>71.6089216325478</v>
      </c>
      <c r="AO8" s="0" t="n">
        <f aca="false">'Datos Regional BRUTOS'!AO8*'Datos Regional BRUTOS'!AO$25</f>
        <v>157.252829316914</v>
      </c>
      <c r="AP8" s="0" t="n">
        <f aca="false">'Datos Regional BRUTOS'!AP8*'Datos Regional BRUTOS'!AP$25</f>
        <v>19.8501091040596</v>
      </c>
      <c r="AQ8" s="0" t="n">
        <f aca="false">'Datos Regional BRUTOS'!AQ8*'Datos Regional BRUTOS'!AQ$25</f>
        <v>94.3786798234397</v>
      </c>
      <c r="AR8" s="0" t="n">
        <f aca="false">'Datos Regional BRUTOS'!AR8*'Datos Regional BRUTOS'!AR$25</f>
        <v>58.4788823974198</v>
      </c>
      <c r="AS8" s="0" t="n">
        <f aca="false">'Datos Regional BRUTOS'!AS8*'Datos Regional BRUTOS'!AS$25</f>
        <v>53.3949510971589</v>
      </c>
      <c r="AT8" s="0" t="n">
        <f aca="false">'Datos Regional BRUTOS'!AT8*'Datos Regional BRUTOS'!AT$25</f>
        <v>89.8104196656573</v>
      </c>
      <c r="AU8" s="0" t="n">
        <f aca="false">'Datos Regional BRUTOS'!AU8*'Datos Regional BRUTOS'!AU$25</f>
        <v>92.136136768491</v>
      </c>
      <c r="AV8" s="0" t="n">
        <f aca="false">'Datos Regional BRUTOS'!AV8*'Datos Regional BRUTOS'!AV$25</f>
        <v>99.4298500863757</v>
      </c>
      <c r="AW8" s="0" t="n">
        <f aca="false">'Datos Regional BRUTOS'!AW8*'Datos Regional BRUTOS'!AW$25</f>
        <v>0</v>
      </c>
      <c r="AX8" s="0" t="n">
        <f aca="false">'Datos Regional BRUTOS'!AX8*'Datos Regional BRUTOS'!AX$25</f>
        <v>64.4006659153886</v>
      </c>
      <c r="AY8" s="0" t="n">
        <f aca="false">'Datos Regional BRUTOS'!AY8*'Datos Regional BRUTOS'!AY$25</f>
        <v>38.3144394746066</v>
      </c>
      <c r="AZ8" s="0" t="n">
        <f aca="false">'Datos Regional BRUTOS'!AZ8*'Datos Regional BRUTOS'!AZ$25</f>
        <v>127.662534475411</v>
      </c>
      <c r="BA8" s="0" t="n">
        <f aca="false">'Datos Regional BRUTOS'!BA8*'Datos Regional BRUTOS'!BA$25</f>
        <v>35.3762727429211</v>
      </c>
      <c r="BB8" s="0" t="n">
        <f aca="false">'Datos Regional BRUTOS'!BB8*'Datos Regional BRUTOS'!BB$25</f>
        <v>77.1825376645771</v>
      </c>
      <c r="BC8" s="0" t="n">
        <f aca="false">'Datos Regional BRUTOS'!BC8*'Datos Regional BRUTOS'!BC$25</f>
        <v>29.8694049982877</v>
      </c>
      <c r="BD8" s="0" t="n">
        <f aca="false">'Datos Regional BRUTOS'!BD8*'Datos Regional BRUTOS'!BD$25</f>
        <v>77.4821483837666</v>
      </c>
      <c r="BE8" s="0" t="n">
        <f aca="false">'Datos Regional BRUTOS'!BE8*'Datos Regional BRUTOS'!BE$25</f>
        <v>13.1487308194616</v>
      </c>
      <c r="BF8" s="10" t="n">
        <f aca="false">AVERAGE(B8:BE8)</f>
        <v>73.9567448131704</v>
      </c>
      <c r="BG8" s="0" t="n">
        <v>73.9567448131704</v>
      </c>
    </row>
    <row r="9" customFormat="false" ht="15" hidden="false" customHeight="false" outlineLevel="0" collapsed="false">
      <c r="A9" s="4" t="s">
        <v>63</v>
      </c>
      <c r="B9" s="0" t="n">
        <f aca="false">'Datos Regional BRUTOS'!B9*'Datos Regional BRUTOS'!B$25</f>
        <v>8.66769965867707</v>
      </c>
      <c r="C9" s="0" t="n">
        <f aca="false">'Datos Regional BRUTOS'!C9*'Datos Regional BRUTOS'!C$25</f>
        <v>23.614850400006</v>
      </c>
      <c r="D9" s="0" t="n">
        <f aca="false">'Datos Regional BRUTOS'!D9*'Datos Regional BRUTOS'!D$25</f>
        <v>103.633850886046</v>
      </c>
      <c r="E9" s="0" t="n">
        <f aca="false">'Datos Regional BRUTOS'!E9*'Datos Regional BRUTOS'!E$25</f>
        <v>28.8234784064728</v>
      </c>
      <c r="F9" s="0" t="n">
        <f aca="false">'Datos Regional BRUTOS'!F9*'Datos Regional BRUTOS'!F$25</f>
        <v>55.4765031343074</v>
      </c>
      <c r="G9" s="0" t="n">
        <f aca="false">'Datos Regional BRUTOS'!G9*'Datos Regional BRUTOS'!G$25</f>
        <v>102.771772596263</v>
      </c>
      <c r="H9" s="0" t="n">
        <f aca="false">'Datos Regional BRUTOS'!H9*'Datos Regional BRUTOS'!H$25</f>
        <v>62.5254952581394</v>
      </c>
      <c r="I9" s="0" t="n">
        <f aca="false">'Datos Regional BRUTOS'!I9*'Datos Regional BRUTOS'!I$25</f>
        <v>97.3732750118662</v>
      </c>
      <c r="J9" s="0" t="n">
        <f aca="false">'Datos Regional BRUTOS'!J9*'Datos Regional BRUTOS'!J$25</f>
        <v>74.5112427129708</v>
      </c>
      <c r="K9" s="0" t="n">
        <f aca="false">'Datos Regional BRUTOS'!K9*'Datos Regional BRUTOS'!K$25</f>
        <v>41.7044877746233</v>
      </c>
      <c r="L9" s="0" t="n">
        <f aca="false">'Datos Regional BRUTOS'!L9*'Datos Regional BRUTOS'!L$25</f>
        <v>15.2387918021417</v>
      </c>
      <c r="M9" s="0" t="n">
        <f aca="false">'Datos Regional BRUTOS'!M9*'Datos Regional BRUTOS'!M$25</f>
        <v>86.1035732206108</v>
      </c>
      <c r="N9" s="0" t="n">
        <f aca="false">'Datos Regional BRUTOS'!N9*'Datos Regional BRUTOS'!N$25</f>
        <v>61.4301485325938</v>
      </c>
      <c r="O9" s="0" t="n">
        <f aca="false">'Datos Regional BRUTOS'!O9*'Datos Regional BRUTOS'!O$25</f>
        <v>0</v>
      </c>
      <c r="P9" s="0" t="n">
        <f aca="false">'Datos Regional BRUTOS'!P9*'Datos Regional BRUTOS'!P$25</f>
        <v>91.7139090846348</v>
      </c>
      <c r="Q9" s="0" t="n">
        <f aca="false">'Datos Regional BRUTOS'!Q9*'Datos Regional BRUTOS'!Q$25</f>
        <v>76.5745362605956</v>
      </c>
      <c r="R9" s="0" t="n">
        <f aca="false">'Datos Regional BRUTOS'!R9*'Datos Regional BRUTOS'!R$25</f>
        <v>22.8712805101455</v>
      </c>
      <c r="S9" s="0" t="n">
        <f aca="false">'Datos Regional BRUTOS'!S9*'Datos Regional BRUTOS'!S$25</f>
        <v>107.522171311162</v>
      </c>
      <c r="T9" s="0" t="n">
        <f aca="false">'Datos Regional BRUTOS'!T9*'Datos Regional BRUTOS'!T$25</f>
        <v>165.571309250264</v>
      </c>
      <c r="U9" s="0" t="n">
        <f aca="false">'Datos Regional BRUTOS'!U9*'Datos Regional BRUTOS'!U$25</f>
        <v>156.899803611803</v>
      </c>
      <c r="V9" s="0" t="n">
        <f aca="false">'Datos Regional BRUTOS'!V9*'Datos Regional BRUTOS'!V$25</f>
        <v>77.7907859439602</v>
      </c>
      <c r="W9" s="0" t="n">
        <f aca="false">'Datos Regional BRUTOS'!W9*'Datos Regional BRUTOS'!W$25</f>
        <v>54.2755802130861</v>
      </c>
      <c r="X9" s="0" t="n">
        <f aca="false">'Datos Regional BRUTOS'!X9*'Datos Regional BRUTOS'!X$25</f>
        <v>78.6538986935995</v>
      </c>
      <c r="Y9" s="0" t="n">
        <f aca="false">'Datos Regional BRUTOS'!Y9*'Datos Regional BRUTOS'!Y$25</f>
        <v>67.3711406968571</v>
      </c>
      <c r="Z9" s="0" t="n">
        <f aca="false">'Datos Regional BRUTOS'!Z9*'Datos Regional BRUTOS'!Z$25</f>
        <v>42.6135347373459</v>
      </c>
      <c r="AA9" s="0" t="n">
        <f aca="false">'Datos Regional BRUTOS'!AA9*'Datos Regional BRUTOS'!AA$25</f>
        <v>114.414570913816</v>
      </c>
      <c r="AB9" s="0" t="n">
        <f aca="false">'Datos Regional BRUTOS'!AB9*'Datos Regional BRUTOS'!AB$25</f>
        <v>36.8606123648898</v>
      </c>
      <c r="AC9" s="0" t="n">
        <f aca="false">'Datos Regional BRUTOS'!AC9*'Datos Regional BRUTOS'!AC$25</f>
        <v>76.0107089896029</v>
      </c>
      <c r="AD9" s="0" t="n">
        <f aca="false">'Datos Regional BRUTOS'!AD9*'Datos Regional BRUTOS'!AD$25</f>
        <v>102.50986761202</v>
      </c>
      <c r="AE9" s="0" t="n">
        <f aca="false">'Datos Regional BRUTOS'!AE9*'Datos Regional BRUTOS'!AE$25</f>
        <v>67.1807687319732</v>
      </c>
      <c r="AF9" s="0" t="n">
        <f aca="false">'Datos Regional BRUTOS'!AF9*'Datos Regional BRUTOS'!AF$25</f>
        <v>173.879854794184</v>
      </c>
      <c r="AG9" s="0" t="n">
        <f aca="false">'Datos Regional BRUTOS'!AG9*'Datos Regional BRUTOS'!AG$25</f>
        <v>78.2112266545175</v>
      </c>
      <c r="AH9" s="0" t="n">
        <f aca="false">'Datos Regional BRUTOS'!AH9*'Datos Regional BRUTOS'!AH$25</f>
        <v>152.015061322918</v>
      </c>
      <c r="AI9" s="0" t="n">
        <f aca="false">'Datos Regional BRUTOS'!AI9*'Datos Regional BRUTOS'!AI$25</f>
        <v>22.7903998886958</v>
      </c>
      <c r="AJ9" s="0" t="n">
        <f aca="false">'Datos Regional BRUTOS'!AJ9*'Datos Regional BRUTOS'!AJ$25</f>
        <v>80.994982788198</v>
      </c>
      <c r="AK9" s="0" t="n">
        <f aca="false">'Datos Regional BRUTOS'!AK9*'Datos Regional BRUTOS'!AK$25</f>
        <v>116.795224195037</v>
      </c>
      <c r="AL9" s="0" t="n">
        <f aca="false">'Datos Regional BRUTOS'!AL9*'Datos Regional BRUTOS'!AL$25</f>
        <v>96.5169666863112</v>
      </c>
      <c r="AM9" s="0" t="n">
        <f aca="false">'Datos Regional BRUTOS'!AM9*'Datos Regional BRUTOS'!AM$25</f>
        <v>63.0675953439167</v>
      </c>
      <c r="AN9" s="0" t="n">
        <f aca="false">'Datos Regional BRUTOS'!AN9*'Datos Regional BRUTOS'!AN$25</f>
        <v>174.439745243168</v>
      </c>
      <c r="AO9" s="0" t="n">
        <f aca="false">'Datos Regional BRUTOS'!AO9*'Datos Regional BRUTOS'!AO$25</f>
        <v>79.2716990704533</v>
      </c>
      <c r="AP9" s="0" t="n">
        <f aca="false">'Datos Regional BRUTOS'!AP9*'Datos Regional BRUTOS'!AP$25</f>
        <v>8.61668881788278</v>
      </c>
      <c r="AQ9" s="0" t="n">
        <f aca="false">'Datos Regional BRUTOS'!AQ9*'Datos Regional BRUTOS'!AQ$25</f>
        <v>119.58725322297</v>
      </c>
      <c r="AR9" s="0" t="n">
        <f aca="false">'Datos Regional BRUTOS'!AR9*'Datos Regional BRUTOS'!AR$25</f>
        <v>101.748606042052</v>
      </c>
      <c r="AS9" s="0" t="n">
        <f aca="false">'Datos Regional BRUTOS'!AS9*'Datos Regional BRUTOS'!AS$25</f>
        <v>141.176442516875</v>
      </c>
      <c r="AT9" s="0" t="n">
        <f aca="false">'Datos Regional BRUTOS'!AT9*'Datos Regional BRUTOS'!AT$25</f>
        <v>108.191804755681</v>
      </c>
      <c r="AU9" s="0" t="n">
        <f aca="false">'Datos Regional BRUTOS'!AU9*'Datos Regional BRUTOS'!AU$25</f>
        <v>14.3508822410076</v>
      </c>
      <c r="AV9" s="0" t="n">
        <f aca="false">'Datos Regional BRUTOS'!AV9*'Datos Regional BRUTOS'!AV$25</f>
        <v>67.8129341087163</v>
      </c>
      <c r="AW9" s="0" t="n">
        <f aca="false">'Datos Regional BRUTOS'!AW9*'Datos Regional BRUTOS'!AW$25</f>
        <v>29.6624333787222</v>
      </c>
      <c r="AX9" s="0" t="n">
        <f aca="false">'Datos Regional BRUTOS'!AX9*'Datos Regional BRUTOS'!AX$25</f>
        <v>123.311959007688</v>
      </c>
      <c r="AY9" s="0" t="n">
        <f aca="false">'Datos Regional BRUTOS'!AY9*'Datos Regional BRUTOS'!AY$25</f>
        <v>73.065235471904</v>
      </c>
      <c r="AZ9" s="0" t="n">
        <f aca="false">'Datos Regional BRUTOS'!AZ9*'Datos Regional BRUTOS'!AZ$25</f>
        <v>100.0840656297</v>
      </c>
      <c r="BA9" s="0" t="n">
        <f aca="false">'Datos Regional BRUTOS'!BA9*'Datos Regional BRUTOS'!BA$25</f>
        <v>84.3190846569467</v>
      </c>
      <c r="BB9" s="0" t="n">
        <f aca="false">'Datos Regional BRUTOS'!BB9*'Datos Regional BRUTOS'!BB$25</f>
        <v>114.792604163733</v>
      </c>
      <c r="BC9" s="0" t="n">
        <f aca="false">'Datos Regional BRUTOS'!BC9*'Datos Regional BRUTOS'!BC$25</f>
        <v>32.4667445633561</v>
      </c>
      <c r="BD9" s="0" t="n">
        <f aca="false">'Datos Regional BRUTOS'!BD9*'Datos Regional BRUTOS'!BD$25</f>
        <v>10.4490670740085</v>
      </c>
      <c r="BE9" s="0" t="n">
        <f aca="false">'Datos Regional BRUTOS'!BE9*'Datos Regional BRUTOS'!BE$25</f>
        <v>4.58557080908155</v>
      </c>
      <c r="BF9" s="10" t="n">
        <f aca="false">AVERAGE(B9:BE9)</f>
        <v>76.3020317994321</v>
      </c>
      <c r="BG9" s="0" t="n">
        <v>76.3020317994321</v>
      </c>
    </row>
    <row r="10" customFormat="false" ht="15" hidden="false" customHeight="false" outlineLevel="0" collapsed="false">
      <c r="A10" s="4" t="s">
        <v>64</v>
      </c>
      <c r="B10" s="0" t="n">
        <f aca="false">'Datos Regional BRUTOS'!B10*'Datos Regional BRUTOS'!B$25</f>
        <v>34.4406179240112</v>
      </c>
      <c r="C10" s="0" t="n">
        <f aca="false">'Datos Regional BRUTOS'!C10*'Datos Regional BRUTOS'!C$25</f>
        <v>19.8931286653944</v>
      </c>
      <c r="D10" s="0" t="n">
        <f aca="false">'Datos Regional BRUTOS'!D10*'Datos Regional BRUTOS'!D$25</f>
        <v>9.56724099715755</v>
      </c>
      <c r="E10" s="0" t="n">
        <f aca="false">'Datos Regional BRUTOS'!E10*'Datos Regional BRUTOS'!E$25</f>
        <v>103.764522244763</v>
      </c>
      <c r="F10" s="0" t="n">
        <f aca="false">'Datos Regional BRUTOS'!F10*'Datos Regional BRUTOS'!F$25</f>
        <v>9.64808750075979</v>
      </c>
      <c r="G10" s="0" t="n">
        <f aca="false">'Datos Regional BRUTOS'!G10*'Datos Regional BRUTOS'!G$25</f>
        <v>150.343263351324</v>
      </c>
      <c r="H10" s="0" t="n">
        <f aca="false">'Datos Regional BRUTOS'!H10*'Datos Regional BRUTOS'!H$25</f>
        <v>57.0301704284056</v>
      </c>
      <c r="I10" s="0" t="n">
        <f aca="false">'Datos Regional BRUTOS'!I10*'Datos Regional BRUTOS'!I$25</f>
        <v>88.2384332257876</v>
      </c>
      <c r="J10" s="0" t="n">
        <f aca="false">'Datos Regional BRUTOS'!J10*'Datos Regional BRUTOS'!J$25</f>
        <v>70.9076100286766</v>
      </c>
      <c r="K10" s="0" t="n">
        <f aca="false">'Datos Regional BRUTOS'!K10*'Datos Regional BRUTOS'!K$25</f>
        <v>116.225762166468</v>
      </c>
      <c r="L10" s="0" t="n">
        <f aca="false">'Datos Regional BRUTOS'!L10*'Datos Regional BRUTOS'!L$25</f>
        <v>73.1486437841153</v>
      </c>
      <c r="M10" s="0" t="n">
        <f aca="false">'Datos Regional BRUTOS'!M10*'Datos Regional BRUTOS'!M$25</f>
        <v>71.6221211895861</v>
      </c>
      <c r="N10" s="0" t="n">
        <f aca="false">'Datos Regional BRUTOS'!N10*'Datos Regional BRUTOS'!N$25</f>
        <v>75.5882179297046</v>
      </c>
      <c r="O10" s="0" t="n">
        <f aca="false">'Datos Regional BRUTOS'!O10*'Datos Regional BRUTOS'!O$25</f>
        <v>16.0008578417013</v>
      </c>
      <c r="P10" s="0" t="n">
        <f aca="false">'Datos Regional BRUTOS'!P10*'Datos Regional BRUTOS'!P$25</f>
        <v>137.646881663046</v>
      </c>
      <c r="Q10" s="0" t="n">
        <f aca="false">'Datos Regional BRUTOS'!Q10*'Datos Regional BRUTOS'!Q$25</f>
        <v>33.1923332026073</v>
      </c>
      <c r="R10" s="0" t="n">
        <f aca="false">'Datos Regional BRUTOS'!R10*'Datos Regional BRUTOS'!R$25</f>
        <v>34.3069207652182</v>
      </c>
      <c r="S10" s="0" t="n">
        <f aca="false">'Datos Regional BRUTOS'!S10*'Datos Regional BRUTOS'!S$25</f>
        <v>20.9070888660593</v>
      </c>
      <c r="T10" s="0" t="n">
        <f aca="false">'Datos Regional BRUTOS'!T10*'Datos Regional BRUTOS'!T$25</f>
        <v>62.3756219344844</v>
      </c>
      <c r="U10" s="0" t="n">
        <f aca="false">'Datos Regional BRUTOS'!U10*'Datos Regional BRUTOS'!U$25</f>
        <v>33.101701078815</v>
      </c>
      <c r="V10" s="0" t="n">
        <f aca="false">'Datos Regional BRUTOS'!V10*'Datos Regional BRUTOS'!V$25</f>
        <v>43.326513690307</v>
      </c>
      <c r="W10" s="0" t="n">
        <f aca="false">'Datos Regional BRUTOS'!W10*'Datos Regional BRUTOS'!W$25</f>
        <v>35.0805579426048</v>
      </c>
      <c r="X10" s="0" t="n">
        <f aca="false">'Datos Regional BRUTOS'!X10*'Datos Regional BRUTOS'!X$25</f>
        <v>36.1807933990558</v>
      </c>
      <c r="Y10" s="0" t="n">
        <f aca="false">'Datos Regional BRUTOS'!Y10*'Datos Regional BRUTOS'!Y$25</f>
        <v>0</v>
      </c>
      <c r="Z10" s="0" t="n">
        <f aca="false">'Datos Regional BRUTOS'!Z10*'Datos Regional BRUTOS'!Z$25</f>
        <v>8.52270694746917</v>
      </c>
      <c r="AA10" s="0" t="n">
        <f aca="false">'Datos Regional BRUTOS'!AA10*'Datos Regional BRUTOS'!AA$25</f>
        <v>67.821215777529</v>
      </c>
      <c r="AB10" s="0" t="n">
        <f aca="false">'Datos Regional BRUTOS'!AB10*'Datos Regional BRUTOS'!AB$25</f>
        <v>57.4139123380351</v>
      </c>
      <c r="AC10" s="0" t="n">
        <f aca="false">'Datos Regional BRUTOS'!AC10*'Datos Regional BRUTOS'!AC$25</f>
        <v>34.2403192631712</v>
      </c>
      <c r="AD10" s="0" t="n">
        <f aca="false">'Datos Regional BRUTOS'!AD10*'Datos Regional BRUTOS'!AD$25</f>
        <v>27.9061320381866</v>
      </c>
      <c r="AE10" s="0" t="n">
        <f aca="false">'Datos Regional BRUTOS'!AE10*'Datos Regional BRUTOS'!AE$25</f>
        <v>68.8442820870189</v>
      </c>
      <c r="AF10" s="0" t="n">
        <f aca="false">'Datos Regional BRUTOS'!AF10*'Datos Regional BRUTOS'!AF$25</f>
        <v>81.1445307070966</v>
      </c>
      <c r="AG10" s="0" t="n">
        <f aca="false">'Datos Regional BRUTOS'!AG10*'Datos Regional BRUTOS'!AG$25</f>
        <v>56.862281228413</v>
      </c>
      <c r="AH10" s="0" t="n">
        <f aca="false">'Datos Regional BRUTOS'!AH10*'Datos Regional BRUTOS'!AH$25</f>
        <v>52.7836546385623</v>
      </c>
      <c r="AI10" s="0" t="n">
        <f aca="false">'Datos Regional BRUTOS'!AI10*'Datos Regional BRUTOS'!AI$25</f>
        <v>17.6219044362111</v>
      </c>
      <c r="AJ10" s="0" t="n">
        <f aca="false">'Datos Regional BRUTOS'!AJ10*'Datos Regional BRUTOS'!AJ$25</f>
        <v>80.063174247832</v>
      </c>
      <c r="AK10" s="0" t="n">
        <f aca="false">'Datos Regional BRUTOS'!AK10*'Datos Regional BRUTOS'!AK$25</f>
        <v>71.0369779913028</v>
      </c>
      <c r="AL10" s="0" t="n">
        <f aca="false">'Datos Regional BRUTOS'!AL10*'Datos Regional BRUTOS'!AL$25</f>
        <v>58.2429971382912</v>
      </c>
      <c r="AM10" s="0" t="n">
        <f aca="false">'Datos Regional BRUTOS'!AM10*'Datos Regional BRUTOS'!AM$25</f>
        <v>22.4178325632506</v>
      </c>
      <c r="AN10" s="0" t="n">
        <f aca="false">'Datos Regional BRUTOS'!AN10*'Datos Regional BRUTOS'!AN$25</f>
        <v>40.9913179417005</v>
      </c>
      <c r="AO10" s="0" t="n">
        <f aca="false">'Datos Regional BRUTOS'!AO10*'Datos Regional BRUTOS'!AO$25</f>
        <v>95.2922505689971</v>
      </c>
      <c r="AP10" s="0" t="n">
        <f aca="false">'Datos Regional BRUTOS'!AP10*'Datos Regional BRUTOS'!AP$25</f>
        <v>104.364664147496</v>
      </c>
      <c r="AQ10" s="0" t="n">
        <f aca="false">'Datos Regional BRUTOS'!AQ10*'Datos Regional BRUTOS'!AQ$25</f>
        <v>31.4412423938498</v>
      </c>
      <c r="AR10" s="0" t="n">
        <f aca="false">'Datos Regional BRUTOS'!AR10*'Datos Regional BRUTOS'!AR$25</f>
        <v>35.0211517419896</v>
      </c>
      <c r="AS10" s="0" t="n">
        <f aca="false">'Datos Regional BRUTOS'!AS10*'Datos Regional BRUTOS'!AS$25</f>
        <v>96.3612787709607</v>
      </c>
      <c r="AT10" s="0" t="n">
        <f aca="false">'Datos Regional BRUTOS'!AT10*'Datos Regional BRUTOS'!AT$25</f>
        <v>172.567860698955</v>
      </c>
      <c r="AU10" s="0" t="n">
        <f aca="false">'Datos Regional BRUTOS'!AU10*'Datos Regional BRUTOS'!AU$25</f>
        <v>113.060142422401</v>
      </c>
      <c r="AV10" s="0" t="n">
        <f aca="false">'Datos Regional BRUTOS'!AV10*'Datos Regional BRUTOS'!AV$25</f>
        <v>19.6074043388498</v>
      </c>
      <c r="AW10" s="0" t="n">
        <f aca="false">'Datos Regional BRUTOS'!AW10*'Datos Regional BRUTOS'!AW$25</f>
        <v>150.569351625702</v>
      </c>
      <c r="AX10" s="0" t="n">
        <f aca="false">'Datos Regional BRUTOS'!AX10*'Datos Regional BRUTOS'!AX$25</f>
        <v>1.15755392351981</v>
      </c>
      <c r="AY10" s="0" t="n">
        <f aca="false">'Datos Regional BRUTOS'!AY10*'Datos Regional BRUTOS'!AY$25</f>
        <v>0</v>
      </c>
      <c r="AZ10" s="0" t="n">
        <f aca="false">'Datos Regional BRUTOS'!AZ10*'Datos Regional BRUTOS'!AZ$25</f>
        <v>27.6987862806042</v>
      </c>
      <c r="BA10" s="0" t="n">
        <f aca="false">'Datos Regional BRUTOS'!BA10*'Datos Regional BRUTOS'!BA$25</f>
        <v>139.3311444359</v>
      </c>
      <c r="BB10" s="0" t="n">
        <f aca="false">'Datos Regional BRUTOS'!BB10*'Datos Regional BRUTOS'!BB$25</f>
        <v>115.499025527514</v>
      </c>
      <c r="BC10" s="0" t="n">
        <f aca="false">'Datos Regional BRUTOS'!BC10*'Datos Regional BRUTOS'!BC$25</f>
        <v>116.880280428082</v>
      </c>
      <c r="BD10" s="0" t="n">
        <f aca="false">'Datos Regional BRUTOS'!BD10*'Datos Regional BRUTOS'!BD$25</f>
        <v>112.633242990858</v>
      </c>
      <c r="BE10" s="0" t="n">
        <f aca="false">'Datos Regional BRUTOS'!BE10*'Datos Regional BRUTOS'!BE$25</f>
        <v>79.6733608947186</v>
      </c>
      <c r="BF10" s="10" t="n">
        <f aca="false">AVERAGE(B10:BE10)</f>
        <v>62.3144476849021</v>
      </c>
      <c r="BG10" s="0" t="n">
        <v>62.3144476849021</v>
      </c>
    </row>
    <row r="11" customFormat="false" ht="15" hidden="false" customHeight="false" outlineLevel="0" collapsed="false">
      <c r="A11" s="4" t="s">
        <v>65</v>
      </c>
      <c r="B11" s="0" t="n">
        <f aca="false">'Datos Regional BRUTOS'!B11*'Datos Regional BRUTOS'!B$25</f>
        <v>34.6445338917237</v>
      </c>
      <c r="C11" s="0" t="n">
        <f aca="false">'Datos Regional BRUTOS'!C11*'Datos Regional BRUTOS'!C$25</f>
        <v>139.53267452988</v>
      </c>
      <c r="D11" s="0" t="n">
        <f aca="false">'Datos Regional BRUTOS'!D11*'Datos Regional BRUTOS'!D$25</f>
        <v>37.8886423962697</v>
      </c>
      <c r="E11" s="0" t="n">
        <f aca="false">'Datos Regional BRUTOS'!E11*'Datos Regional BRUTOS'!E$25</f>
        <v>73.7881047125366</v>
      </c>
      <c r="F11" s="0" t="n">
        <f aca="false">'Datos Regional BRUTOS'!F11*'Datos Regional BRUTOS'!F$25</f>
        <v>31.3562843710111</v>
      </c>
      <c r="G11" s="0" t="n">
        <f aca="false">'Datos Regional BRUTOS'!G11*'Datos Regional BRUTOS'!G$25</f>
        <v>124.391461644566</v>
      </c>
      <c r="H11" s="0" t="n">
        <f aca="false">'Datos Regional BRUTOS'!H11*'Datos Regional BRUTOS'!H$25</f>
        <v>54.9508236203476</v>
      </c>
      <c r="I11" s="0" t="n">
        <f aca="false">'Datos Regional BRUTOS'!I11*'Datos Regional BRUTOS'!I$25</f>
        <v>21.3837369286732</v>
      </c>
      <c r="J11" s="0" t="n">
        <f aca="false">'Datos Regional BRUTOS'!J11*'Datos Regional BRUTOS'!J$25</f>
        <v>77.6895570559611</v>
      </c>
      <c r="K11" s="0" t="n">
        <f aca="false">'Datos Regional BRUTOS'!K11*'Datos Regional BRUTOS'!K$25</f>
        <v>83.1815453887864</v>
      </c>
      <c r="L11" s="0" t="n">
        <f aca="false">'Datos Regional BRUTOS'!L11*'Datos Regional BRUTOS'!L$25</f>
        <v>79.3808482240803</v>
      </c>
      <c r="M11" s="0" t="n">
        <f aca="false">'Datos Regional BRUTOS'!M11*'Datos Regional BRUTOS'!M$25</f>
        <v>82.5268290442733</v>
      </c>
      <c r="N11" s="0" t="n">
        <f aca="false">'Datos Regional BRUTOS'!N11*'Datos Regional BRUTOS'!N$25</f>
        <v>39.2885062221753</v>
      </c>
      <c r="O11" s="0" t="n">
        <f aca="false">'Datos Regional BRUTOS'!O11*'Datos Regional BRUTOS'!O$25</f>
        <v>24.6724592510843</v>
      </c>
      <c r="P11" s="0" t="n">
        <f aca="false">'Datos Regional BRUTOS'!P11*'Datos Regional BRUTOS'!P$25</f>
        <v>47.420545045292</v>
      </c>
      <c r="Q11" s="0" t="n">
        <f aca="false">'Datos Regional BRUTOS'!Q11*'Datos Regional BRUTOS'!Q$25</f>
        <v>118.408182223655</v>
      </c>
      <c r="R11" s="0" t="n">
        <f aca="false">'Datos Regional BRUTOS'!R11*'Datos Regional BRUTOS'!R$25</f>
        <v>34.3069207652182</v>
      </c>
      <c r="S11" s="0" t="n">
        <f aca="false">'Datos Regional BRUTOS'!S11*'Datos Regional BRUTOS'!S$25</f>
        <v>91.991191010661</v>
      </c>
      <c r="T11" s="0" t="n">
        <f aca="false">'Datos Regional BRUTOS'!T11*'Datos Regional BRUTOS'!T$25</f>
        <v>140.517593805015</v>
      </c>
      <c r="U11" s="0" t="n">
        <f aca="false">'Datos Regional BRUTOS'!U11*'Datos Regional BRUTOS'!U$25</f>
        <v>133.965860543546</v>
      </c>
      <c r="V11" s="0" t="n">
        <f aca="false">'Datos Regional BRUTOS'!V11*'Datos Regional BRUTOS'!V$25</f>
        <v>91.5764948454215</v>
      </c>
      <c r="W11" s="0" t="n">
        <f aca="false">'Datos Regional BRUTOS'!W11*'Datos Regional BRUTOS'!W$25</f>
        <v>25.086678063606</v>
      </c>
      <c r="X11" s="0" t="n">
        <f aca="false">'Datos Regional BRUTOS'!X11*'Datos Regional BRUTOS'!X$25</f>
        <v>99.1039123539354</v>
      </c>
      <c r="Y11" s="0" t="n">
        <f aca="false">'Datos Regional BRUTOS'!Y11*'Datos Regional BRUTOS'!Y$25</f>
        <v>35.5440845745489</v>
      </c>
      <c r="Z11" s="0" t="n">
        <f aca="false">'Datos Regional BRUTOS'!Z11*'Datos Regional BRUTOS'!Z$25</f>
        <v>54.5453244638027</v>
      </c>
      <c r="AA11" s="0" t="n">
        <f aca="false">'Datos Regional BRUTOS'!AA11*'Datos Regional BRUTOS'!AA$25</f>
        <v>44.8641399232071</v>
      </c>
      <c r="AB11" s="0" t="n">
        <f aca="false">'Datos Regional BRUTOS'!AB11*'Datos Regional BRUTOS'!AB$25</f>
        <v>33.8166834737233</v>
      </c>
      <c r="AC11" s="0" t="n">
        <f aca="false">'Datos Regional BRUTOS'!AC11*'Datos Regional BRUTOS'!AC$25</f>
        <v>41.815608520481</v>
      </c>
      <c r="AD11" s="0" t="n">
        <f aca="false">'Datos Regional BRUTOS'!AD11*'Datos Regional BRUTOS'!AD$25</f>
        <v>55.8200200240832</v>
      </c>
      <c r="AE11" s="0" t="n">
        <f aca="false">'Datos Regional BRUTOS'!AE11*'Datos Regional BRUTOS'!AE$25</f>
        <v>56.1748014533991</v>
      </c>
      <c r="AF11" s="0" t="n">
        <f aca="false">'Datos Regional BRUTOS'!AF11*'Datos Regional BRUTOS'!AF$25</f>
        <v>105.07554211532</v>
      </c>
      <c r="AG11" s="0" t="n">
        <f aca="false">'Datos Regional BRUTOS'!AG11*'Datos Regional BRUTOS'!AG$25</f>
        <v>163.197206402543</v>
      </c>
      <c r="AH11" s="0" t="n">
        <f aca="false">'Datos Regional BRUTOS'!AH11*'Datos Regional BRUTOS'!AH$25</f>
        <v>91.4725237901273</v>
      </c>
      <c r="AI11" s="0" t="n">
        <f aca="false">'Datos Regional BRUTOS'!AI11*'Datos Regional BRUTOS'!AI$25</f>
        <v>38.3736308160915</v>
      </c>
      <c r="AJ11" s="0" t="n">
        <f aca="false">'Datos Regional BRUTOS'!AJ11*'Datos Regional BRUTOS'!AJ$25</f>
        <v>60.0050042704288</v>
      </c>
      <c r="AK11" s="0" t="n">
        <f aca="false">'Datos Regional BRUTOS'!AK11*'Datos Regional BRUTOS'!AK$25</f>
        <v>87.2056293353098</v>
      </c>
      <c r="AL11" s="0" t="n">
        <f aca="false">'Datos Regional BRUTOS'!AL11*'Datos Regional BRUTOS'!AL$25</f>
        <v>94.7248744666715</v>
      </c>
      <c r="AM11" s="0" t="n">
        <f aca="false">'Datos Regional BRUTOS'!AM11*'Datos Regional BRUTOS'!AM$25</f>
        <v>55.4399510692837</v>
      </c>
      <c r="AN11" s="0" t="n">
        <f aca="false">'Datos Regional BRUTOS'!AN11*'Datos Regional BRUTOS'!AN$25</f>
        <v>94.0624060110865</v>
      </c>
      <c r="AO11" s="0" t="n">
        <f aca="false">'Datos Regional BRUTOS'!AO11*'Datos Regional BRUTOS'!AO$25</f>
        <v>109.705190058347</v>
      </c>
      <c r="AP11" s="0" t="n">
        <f aca="false">'Datos Regional BRUTOS'!AP11*'Datos Regional BRUTOS'!AP$25</f>
        <v>70.7796747980303</v>
      </c>
      <c r="AQ11" s="0" t="n">
        <f aca="false">'Datos Regional BRUTOS'!AQ11*'Datos Regional BRUTOS'!AQ$25</f>
        <v>63.690189936737</v>
      </c>
      <c r="AR11" s="0" t="n">
        <f aca="false">'Datos Regional BRUTOS'!AR11*'Datos Regional BRUTOS'!AR$25</f>
        <v>44.3998248866911</v>
      </c>
      <c r="AS11" s="0" t="n">
        <f aca="false">'Datos Regional BRUTOS'!AS11*'Datos Regional BRUTOS'!AS$25</f>
        <v>42.4907608434335</v>
      </c>
      <c r="AT11" s="0" t="n">
        <f aca="false">'Datos Regional BRUTOS'!AT11*'Datos Regional BRUTOS'!AT$25</f>
        <v>72.1590806223059</v>
      </c>
      <c r="AU11" s="0" t="n">
        <f aca="false">'Datos Regional BRUTOS'!AU11*'Datos Regional BRUTOS'!AU$25</f>
        <v>22.48631893882</v>
      </c>
      <c r="AV11" s="0" t="n">
        <f aca="false">'Datos Regional BRUTOS'!AV11*'Datos Regional BRUTOS'!AV$25</f>
        <v>53.475924203697</v>
      </c>
      <c r="AW11" s="0" t="n">
        <f aca="false">'Datos Regional BRUTOS'!AW11*'Datos Regional BRUTOS'!AW$25</f>
        <v>148.737685102608</v>
      </c>
      <c r="AX11" s="0" t="n">
        <f aca="false">'Datos Regional BRUTOS'!AX11*'Datos Regional BRUTOS'!AX$25</f>
        <v>170.431532299655</v>
      </c>
      <c r="AY11" s="0" t="n">
        <f aca="false">'Datos Regional BRUTOS'!AY11*'Datos Regional BRUTOS'!AY$25</f>
        <v>111.481967744498</v>
      </c>
      <c r="AZ11" s="0" t="n">
        <f aca="false">'Datos Regional BRUTOS'!AZ11*'Datos Regional BRUTOS'!AZ$25</f>
        <v>55.1619085341016</v>
      </c>
      <c r="BA11" s="0" t="n">
        <f aca="false">'Datos Regional BRUTOS'!BA11*'Datos Regional BRUTOS'!BA$25</f>
        <v>99.0700364405166</v>
      </c>
      <c r="BB11" s="0" t="n">
        <f aca="false">'Datos Regional BRUTOS'!BB11*'Datos Regional BRUTOS'!BB$25</f>
        <v>108.243437060244</v>
      </c>
      <c r="BC11" s="0" t="n">
        <f aca="false">'Datos Regional BRUTOS'!BC11*'Datos Regional BRUTOS'!BC$25</f>
        <v>83.1148660821917</v>
      </c>
      <c r="BD11" s="0" t="n">
        <f aca="false">'Datos Regional BRUTOS'!BD11*'Datos Regional BRUTOS'!BD$25</f>
        <v>56.8931490908061</v>
      </c>
      <c r="BE11" s="0" t="n">
        <f aca="false">'Datos Regional BRUTOS'!BE11*'Datos Regional BRUTOS'!BE$25</f>
        <v>26.2287218400233</v>
      </c>
      <c r="BF11" s="10" t="n">
        <f aca="false">AVERAGE(B11:BE11)</f>
        <v>73.8882336630453</v>
      </c>
      <c r="BG11" s="0" t="n">
        <v>73.8882336630452</v>
      </c>
    </row>
    <row r="12" customFormat="false" ht="15" hidden="false" customHeight="false" outlineLevel="0" collapsed="false">
      <c r="A12" s="4" t="s">
        <v>66</v>
      </c>
      <c r="B12" s="0" t="n">
        <f aca="false">'Datos Regional BRUTOS'!B12*'Datos Regional BRUTOS'!B$25</f>
        <v>10.4937164857267</v>
      </c>
      <c r="C12" s="0" t="n">
        <f aca="false">'Datos Regional BRUTOS'!C12*'Datos Regional BRUTOS'!C$25</f>
        <v>50.3742875422021</v>
      </c>
      <c r="D12" s="0" t="n">
        <f aca="false">'Datos Regional BRUTOS'!D12*'Datos Regional BRUTOS'!D$25</f>
        <v>62.1220178319706</v>
      </c>
      <c r="E12" s="0" t="n">
        <f aca="false">'Datos Regional BRUTOS'!E12*'Datos Regional BRUTOS'!E$25</f>
        <v>12.6823304976121</v>
      </c>
      <c r="F12" s="0" t="n">
        <f aca="false">'Datos Regional BRUTOS'!F12*'Datos Regional BRUTOS'!F$25</f>
        <v>108.540984389246</v>
      </c>
      <c r="G12" s="0" t="n">
        <f aca="false">'Datos Regional BRUTOS'!G12*'Datos Regional BRUTOS'!G$25</f>
        <v>128.97693655907</v>
      </c>
      <c r="H12" s="0" t="n">
        <f aca="false">'Datos Regional BRUTOS'!H12*'Datos Regional BRUTOS'!H$25</f>
        <v>40.1180144873422</v>
      </c>
      <c r="I12" s="0" t="n">
        <f aca="false">'Datos Regional BRUTOS'!I12*'Datos Regional BRUTOS'!I$25</f>
        <v>101.924779494264</v>
      </c>
      <c r="J12" s="0" t="n">
        <f aca="false">'Datos Regional BRUTOS'!J12*'Datos Regional BRUTOS'!J$25</f>
        <v>103.347168664909</v>
      </c>
      <c r="K12" s="0" t="n">
        <f aca="false">'Datos Regional BRUTOS'!K12*'Datos Regional BRUTOS'!K$25</f>
        <v>50.6018966524345</v>
      </c>
      <c r="L12" s="0" t="n">
        <f aca="false">'Datos Regional BRUTOS'!L12*'Datos Regional BRUTOS'!L$25</f>
        <v>67.4158393480603</v>
      </c>
      <c r="M12" s="0" t="n">
        <f aca="false">'Datos Regional BRUTOS'!M12*'Datos Regional BRUTOS'!M$25</f>
        <v>115.328190271173</v>
      </c>
      <c r="N12" s="0" t="n">
        <f aca="false">'Datos Regional BRUTOS'!N12*'Datos Regional BRUTOS'!N$25</f>
        <v>58.3430271578535</v>
      </c>
      <c r="O12" s="0" t="n">
        <f aca="false">'Datos Regional BRUTOS'!O12*'Datos Regional BRUTOS'!O$25</f>
        <v>80.4608684548739</v>
      </c>
      <c r="P12" s="0" t="n">
        <f aca="false">'Datos Regional BRUTOS'!P12*'Datos Regional BRUTOS'!P$25</f>
        <v>12.791773276335</v>
      </c>
      <c r="Q12" s="0" t="n">
        <f aca="false">'Datos Regional BRUTOS'!Q12*'Datos Regional BRUTOS'!Q$25</f>
        <v>151.1139341966</v>
      </c>
      <c r="R12" s="0" t="n">
        <f aca="false">'Datos Regional BRUTOS'!R12*'Datos Regional BRUTOS'!R$25</f>
        <v>0</v>
      </c>
      <c r="S12" s="0" t="n">
        <f aca="false">'Datos Regional BRUTOS'!S12*'Datos Regional BRUTOS'!S$25</f>
        <v>108.119516707335</v>
      </c>
      <c r="T12" s="0" t="n">
        <f aca="false">'Datos Regional BRUTOS'!T12*'Datos Regional BRUTOS'!T$25</f>
        <v>163.99467425666</v>
      </c>
      <c r="U12" s="0" t="n">
        <f aca="false">'Datos Regional BRUTOS'!U12*'Datos Regional BRUTOS'!U$25</f>
        <v>175.653668386831</v>
      </c>
      <c r="V12" s="0" t="n">
        <f aca="false">'Datos Regional BRUTOS'!V12*'Datos Regional BRUTOS'!V$25</f>
        <v>85.6683338876524</v>
      </c>
      <c r="W12" s="0" t="n">
        <f aca="false">'Datos Regional BRUTOS'!W12*'Datos Regional BRUTOS'!W$25</f>
        <v>51.6755524184467</v>
      </c>
      <c r="X12" s="0" t="n">
        <f aca="false">'Datos Regional BRUTOS'!X12*'Datos Regional BRUTOS'!X$25</f>
        <v>84.9462105890875</v>
      </c>
      <c r="Y12" s="0" t="n">
        <f aca="false">'Datos Regional BRUTOS'!Y12*'Datos Regional BRUTOS'!Y$25</f>
        <v>78.5355011551934</v>
      </c>
      <c r="Z12" s="0" t="n">
        <f aca="false">'Datos Regional BRUTOS'!Z12*'Datos Regional BRUTOS'!Z$25</f>
        <v>28.9772036213952</v>
      </c>
      <c r="AA12" s="0" t="n">
        <f aca="false">'Datos Regional BRUTOS'!AA12*'Datos Regional BRUTOS'!AA$25</f>
        <v>96.6647213380874</v>
      </c>
      <c r="AB12" s="0" t="n">
        <f aca="false">'Datos Regional BRUTOS'!AB12*'Datos Regional BRUTOS'!AB$25</f>
        <v>21.7695222642182</v>
      </c>
      <c r="AC12" s="0" t="n">
        <f aca="false">'Datos Regional BRUTOS'!AC12*'Datos Regional BRUTOS'!AC$25</f>
        <v>58.8824425483801</v>
      </c>
      <c r="AD12" s="0" t="n">
        <f aca="false">'Datos Regional BRUTOS'!AD12*'Datos Regional BRUTOS'!AD$25</f>
        <v>95.5960991740515</v>
      </c>
      <c r="AE12" s="0" t="n">
        <f aca="false">'Datos Regional BRUTOS'!AE12*'Datos Regional BRUTOS'!AE$25</f>
        <v>56.7625814119987</v>
      </c>
      <c r="AF12" s="0" t="n">
        <f aca="false">'Datos Regional BRUTOS'!AF12*'Datos Regional BRUTOS'!AF$25</f>
        <v>109.40434224112</v>
      </c>
      <c r="AG12" s="0" t="n">
        <f aca="false">'Datos Regional BRUTOS'!AG12*'Datos Regional BRUTOS'!AG$25</f>
        <v>113.203007208027</v>
      </c>
      <c r="AH12" s="0" t="n">
        <f aca="false">'Datos Regional BRUTOS'!AH12*'Datos Regional BRUTOS'!AH$25</f>
        <v>115.220642572322</v>
      </c>
      <c r="AI12" s="0" t="n">
        <f aca="false">'Datos Regional BRUTOS'!AI12*'Datos Regional BRUTOS'!AI$25</f>
        <v>95.5131536774087</v>
      </c>
      <c r="AJ12" s="0" t="n">
        <f aca="false">'Datos Regional BRUTOS'!AJ12*'Datos Regional BRUTOS'!AJ$25</f>
        <v>73.8188903971043</v>
      </c>
      <c r="AK12" s="0" t="n">
        <f aca="false">'Datos Regional BRUTOS'!AK12*'Datos Regional BRUTOS'!AK$25</f>
        <v>130.507998378735</v>
      </c>
      <c r="AL12" s="0" t="n">
        <f aca="false">'Datos Regional BRUTOS'!AL12*'Datos Regional BRUTOS'!AL$25</f>
        <v>143.111364396944</v>
      </c>
      <c r="AM12" s="0" t="n">
        <f aca="false">'Datos Regional BRUTOS'!AM12*'Datos Regional BRUTOS'!AM$25</f>
        <v>72.4626206090135</v>
      </c>
      <c r="AN12" s="0" t="n">
        <f aca="false">'Datos Regional BRUTOS'!AN12*'Datos Regional BRUTOS'!AN$25</f>
        <v>99.0435374785369</v>
      </c>
      <c r="AO12" s="0" t="n">
        <f aca="false">'Datos Regional BRUTOS'!AO12*'Datos Regional BRUTOS'!AO$25</f>
        <v>121.077795240162</v>
      </c>
      <c r="AP12" s="0" t="n">
        <f aca="false">'Datos Regional BRUTOS'!AP12*'Datos Regional BRUTOS'!AP$25</f>
        <v>2.30074052579436</v>
      </c>
      <c r="AQ12" s="0" t="n">
        <f aca="false">'Datos Regional BRUTOS'!AQ12*'Datos Regional BRUTOS'!AQ$25</f>
        <v>128.223098739192</v>
      </c>
      <c r="AR12" s="0" t="n">
        <f aca="false">'Datos Regional BRUTOS'!AR12*'Datos Regional BRUTOS'!AR$25</f>
        <v>78.6120738681877</v>
      </c>
      <c r="AS12" s="0" t="n">
        <f aca="false">'Datos Regional BRUTOS'!AS12*'Datos Regional BRUTOS'!AS$25</f>
        <v>42.6118818970202</v>
      </c>
      <c r="AT12" s="0" t="n">
        <f aca="false">'Datos Regional BRUTOS'!AT12*'Datos Regional BRUTOS'!AT$25</f>
        <v>127.734174285016</v>
      </c>
      <c r="AU12" s="0" t="n">
        <f aca="false">'Datos Regional BRUTOS'!AU12*'Datos Regional BRUTOS'!AU$25</f>
        <v>13.8094633751865</v>
      </c>
      <c r="AV12" s="0" t="n">
        <f aca="false">'Datos Regional BRUTOS'!AV12*'Datos Regional BRUTOS'!AV$25</f>
        <v>73.7619940958869</v>
      </c>
      <c r="AW12" s="0" t="n">
        <f aca="false">'Datos Regional BRUTOS'!AW12*'Datos Regional BRUTOS'!AW$25</f>
        <v>61.1409722427514</v>
      </c>
      <c r="AX12" s="0" t="n">
        <f aca="false">'Datos Regional BRUTOS'!AX12*'Datos Regional BRUTOS'!AX$25</f>
        <v>0</v>
      </c>
      <c r="AY12" s="0" t="n">
        <f aca="false">'Datos Regional BRUTOS'!AY12*'Datos Regional BRUTOS'!AY$25</f>
        <v>47.0696991073931</v>
      </c>
      <c r="AZ12" s="0" t="n">
        <f aca="false">'Datos Regional BRUTOS'!AZ12*'Datos Regional BRUTOS'!AZ$25</f>
        <v>117.892258773914</v>
      </c>
      <c r="BA12" s="0" t="n">
        <f aca="false">'Datos Regional BRUTOS'!BA12*'Datos Regional BRUTOS'!BA$25</f>
        <v>16.0495362919095</v>
      </c>
      <c r="BB12" s="0" t="n">
        <f aca="false">'Datos Regional BRUTOS'!BB12*'Datos Regional BRUTOS'!BB$25</f>
        <v>10.9140478419246</v>
      </c>
      <c r="BC12" s="0" t="n">
        <f aca="false">'Datos Regional BRUTOS'!BC12*'Datos Regional BRUTOS'!BC$25</f>
        <v>14.2853676078767</v>
      </c>
      <c r="BD12" s="0" t="n">
        <f aca="false">'Datos Regional BRUTOS'!BD12*'Datos Regional BRUTOS'!BD$25</f>
        <v>100.382988116556</v>
      </c>
      <c r="BE12" s="0" t="n">
        <f aca="false">'Datos Regional BRUTOS'!BE12*'Datos Regional BRUTOS'!BE$25</f>
        <v>0</v>
      </c>
      <c r="BF12" s="10" t="n">
        <f aca="false">AVERAGE(B12:BE12)</f>
        <v>74.4648828935178</v>
      </c>
      <c r="BG12" s="0" t="n">
        <v>74.4648828935178</v>
      </c>
    </row>
    <row r="13" customFormat="false" ht="15" hidden="false" customHeight="false" outlineLevel="0" collapsed="false">
      <c r="A13" s="4" t="s">
        <v>67</v>
      </c>
      <c r="B13" s="0" t="n">
        <f aca="false">'Datos Regional BRUTOS'!B13*'Datos Regional BRUTOS'!B$25</f>
        <v>15.1772715253879</v>
      </c>
      <c r="C13" s="0" t="n">
        <f aca="false">'Datos Regional BRUTOS'!C13*'Datos Regional BRUTOS'!C$25</f>
        <v>176.169100000631</v>
      </c>
      <c r="D13" s="0" t="n">
        <f aca="false">'Datos Regional BRUTOS'!D13*'Datos Regional BRUTOS'!D$25</f>
        <v>129.257771931615</v>
      </c>
      <c r="E13" s="0" t="n">
        <f aca="false">'Datos Regional BRUTOS'!E13*'Datos Regional BRUTOS'!E$25</f>
        <v>27.6705392652701</v>
      </c>
      <c r="F13" s="0" t="n">
        <f aca="false">'Datos Regional BRUTOS'!F13*'Datos Regional BRUTOS'!F$25</f>
        <v>86.8327875053185</v>
      </c>
      <c r="G13" s="0" t="n">
        <f aca="false">'Datos Regional BRUTOS'!G13*'Datos Regional BRUTOS'!G$25</f>
        <v>0</v>
      </c>
      <c r="H13" s="0" t="n">
        <f aca="false">'Datos Regional BRUTOS'!H13*'Datos Regional BRUTOS'!H$25</f>
        <v>14.4986756746872</v>
      </c>
      <c r="I13" s="0" t="n">
        <f aca="false">'Datos Regional BRUTOS'!I13*'Datos Regional BRUTOS'!I$25</f>
        <v>52.8469743419752</v>
      </c>
      <c r="J13" s="0" t="n">
        <f aca="false">'Datos Regional BRUTOS'!J13*'Datos Regional BRUTOS'!J$25</f>
        <v>143.07320669462</v>
      </c>
      <c r="K13" s="0" t="n">
        <f aca="false">'Datos Regional BRUTOS'!K13*'Datos Regional BRUTOS'!K$25</f>
        <v>116.131522513621</v>
      </c>
      <c r="L13" s="0" t="n">
        <f aca="false">'Datos Regional BRUTOS'!L13*'Datos Regional BRUTOS'!L$25</f>
        <v>150.70715790855</v>
      </c>
      <c r="M13" s="0" t="n">
        <f aca="false">'Datos Regional BRUTOS'!M13*'Datos Regional BRUTOS'!M$25</f>
        <v>165.664321728409</v>
      </c>
      <c r="N13" s="0" t="n">
        <f aca="false">'Datos Regional BRUTOS'!N13*'Datos Regional BRUTOS'!N$25</f>
        <v>71.6888197644497</v>
      </c>
      <c r="O13" s="0" t="n">
        <f aca="false">'Datos Regional BRUTOS'!O13*'Datos Regional BRUTOS'!O$25</f>
        <v>10.9627260147709</v>
      </c>
      <c r="P13" s="0" t="n">
        <f aca="false">'Datos Regional BRUTOS'!P13*'Datos Regional BRUTOS'!P$25</f>
        <v>62.8362540623861</v>
      </c>
      <c r="Q13" s="0" t="n">
        <f aca="false">'Datos Regional BRUTOS'!Q13*'Datos Regional BRUTOS'!Q$25</f>
        <v>103.848544966981</v>
      </c>
      <c r="R13" s="0" t="n">
        <f aca="false">'Datos Regional BRUTOS'!R13*'Datos Regional BRUTOS'!R$25</f>
        <v>11.4356402550727</v>
      </c>
      <c r="S13" s="0" t="n">
        <f aca="false">'Datos Regional BRUTOS'!S13*'Datos Regional BRUTOS'!S$25</f>
        <v>28.6725790163099</v>
      </c>
      <c r="T13" s="0" t="n">
        <f aca="false">'Datos Regional BRUTOS'!T13*'Datos Regional BRUTOS'!T$25</f>
        <v>111.349846423329</v>
      </c>
      <c r="U13" s="0" t="n">
        <f aca="false">'Datos Regional BRUTOS'!U13*'Datos Regional BRUTOS'!U$25</f>
        <v>112.941196479493</v>
      </c>
      <c r="V13" s="0" t="n">
        <f aca="false">'Datos Regional BRUTOS'!V13*'Datos Regional BRUTOS'!V$25</f>
        <v>38.4030462254993</v>
      </c>
      <c r="W13" s="0" t="n">
        <f aca="false">'Datos Regional BRUTOS'!W13*'Datos Regional BRUTOS'!W$25</f>
        <v>0</v>
      </c>
      <c r="X13" s="0" t="n">
        <f aca="false">'Datos Regional BRUTOS'!X13*'Datos Regional BRUTOS'!X$25</f>
        <v>42.4731052945437</v>
      </c>
      <c r="Y13" s="0" t="n">
        <f aca="false">'Datos Regional BRUTOS'!Y13*'Datos Regional BRUTOS'!Y$25</f>
        <v>105.720866939684</v>
      </c>
      <c r="Z13" s="0" t="n">
        <f aca="false">'Datos Regional BRUTOS'!Z13*'Datos Regional BRUTOS'!Z$25</f>
        <v>40.908993347852</v>
      </c>
      <c r="AA13" s="0" t="n">
        <f aca="false">'Datos Regional BRUTOS'!AA13*'Datos Regional BRUTOS'!AA$25</f>
        <v>87.7897965502232</v>
      </c>
      <c r="AB13" s="0" t="n">
        <f aca="false">'Datos Regional BRUTOS'!AB13*'Datos Regional BRUTOS'!AB$25</f>
        <v>71.4376380488994</v>
      </c>
      <c r="AC13" s="0" t="n">
        <f aca="false">'Datos Regional BRUTOS'!AC13*'Datos Regional BRUTOS'!AC$25</f>
        <v>94.9535642316067</v>
      </c>
      <c r="AD13" s="0" t="n">
        <f aca="false">'Datos Regional BRUTOS'!AD13*'Datos Regional BRUTOS'!AD$25</f>
        <v>115.004920029387</v>
      </c>
      <c r="AE13" s="0" t="n">
        <f aca="false">'Datos Regional BRUTOS'!AE13*'Datos Regional BRUTOS'!AE$25</f>
        <v>92.6248013430026</v>
      </c>
      <c r="AF13" s="0" t="n">
        <f aca="false">'Datos Regional BRUTOS'!AF13*'Datos Regional BRUTOS'!AF$25</f>
        <v>0</v>
      </c>
      <c r="AG13" s="0" t="n">
        <f aca="false">'Datos Regional BRUTOS'!AG13*'Datos Regional BRUTOS'!AG$25</f>
        <v>114.065850298995</v>
      </c>
      <c r="AH13" s="0" t="n">
        <f aca="false">'Datos Regional BRUTOS'!AH13*'Datos Regional BRUTOS'!AH$25</f>
        <v>62.1283251701488</v>
      </c>
      <c r="AI13" s="0" t="n">
        <f aca="false">'Datos Regional BRUTOS'!AI13*'Datos Regional BRUTOS'!AI$25</f>
        <v>36.8728281558867</v>
      </c>
      <c r="AJ13" s="0" t="n">
        <f aca="false">'Datos Regional BRUTOS'!AJ13*'Datos Regional BRUTOS'!AJ$25</f>
        <v>64.6867672670185</v>
      </c>
      <c r="AK13" s="0" t="n">
        <f aca="false">'Datos Regional BRUTOS'!AK13*'Datos Regional BRUTOS'!AK$25</f>
        <v>104.346544230381</v>
      </c>
      <c r="AL13" s="0" t="n">
        <f aca="false">'Datos Regional BRUTOS'!AL13*'Datos Regional BRUTOS'!AL$25</f>
        <v>165.896536903792</v>
      </c>
      <c r="AM13" s="0" t="n">
        <f aca="false">'Datos Regional BRUTOS'!AM13*'Datos Regional BRUTOS'!AM$25</f>
        <v>20.7434716249166</v>
      </c>
      <c r="AN13" s="0" t="n">
        <f aca="false">'Datos Regional BRUTOS'!AN13*'Datos Regional BRUTOS'!AN$25</f>
        <v>13.4041471629339</v>
      </c>
      <c r="AO13" s="0" t="n">
        <f aca="false">'Datos Regional BRUTOS'!AO13*'Datos Regional BRUTOS'!AO$25</f>
        <v>105.616670751949</v>
      </c>
      <c r="AP13" s="0" t="n">
        <f aca="false">'Datos Regional BRUTOS'!AP13*'Datos Regional BRUTOS'!AP$25</f>
        <v>82.1163939909368</v>
      </c>
      <c r="AQ13" s="0" t="n">
        <f aca="false">'Datos Regional BRUTOS'!AQ13*'Datos Regional BRUTOS'!AQ$25</f>
        <v>65.7561380048823</v>
      </c>
      <c r="AR13" s="0" t="n">
        <f aca="false">'Datos Regional BRUTOS'!AR13*'Datos Regional BRUTOS'!AR$25</f>
        <v>52.7401125346678</v>
      </c>
      <c r="AS13" s="0" t="n">
        <f aca="false">'Datos Regional BRUTOS'!AS13*'Datos Regional BRUTOS'!AS$25</f>
        <v>75.3021722118037</v>
      </c>
      <c r="AT13" s="0" t="n">
        <f aca="false">'Datos Regional BRUTOS'!AT13*'Datos Regional BRUTOS'!AT$25</f>
        <v>101.165409012802</v>
      </c>
      <c r="AU13" s="0" t="n">
        <f aca="false">'Datos Regional BRUTOS'!AU13*'Datos Regional BRUTOS'!AU$25</f>
        <v>55.0659595631203</v>
      </c>
      <c r="AV13" s="0" t="n">
        <f aca="false">'Datos Regional BRUTOS'!AV13*'Datos Regional BRUTOS'!AV$25</f>
        <v>19.8615842306183</v>
      </c>
      <c r="AW13" s="0" t="n">
        <f aca="false">'Datos Regional BRUTOS'!AW13*'Datos Regional BRUTOS'!AW$25</f>
        <v>146.052555956224</v>
      </c>
      <c r="AX13" s="0" t="n">
        <f aca="false">'Datos Regional BRUTOS'!AX13*'Datos Regional BRUTOS'!AX$25</f>
        <v>69.94605773124</v>
      </c>
      <c r="AY13" s="0" t="n">
        <f aca="false">'Datos Regional BRUTOS'!AY13*'Datos Regional BRUTOS'!AY$25</f>
        <v>39.8342946554065</v>
      </c>
      <c r="AZ13" s="0" t="n">
        <f aca="false">'Datos Regional BRUTOS'!AZ13*'Datos Regional BRUTOS'!AZ$25</f>
        <v>156.426712793138</v>
      </c>
      <c r="BA13" s="0" t="n">
        <f aca="false">'Datos Regional BRUTOS'!BA13*'Datos Regional BRUTOS'!BA$25</f>
        <v>92.9066901083861</v>
      </c>
      <c r="BB13" s="0" t="n">
        <f aca="false">'Datos Regional BRUTOS'!BB13*'Datos Regional BRUTOS'!BB$25</f>
        <v>162.360958346747</v>
      </c>
      <c r="BC13" s="0" t="n">
        <f aca="false">'Datos Regional BRUTOS'!BC13*'Datos Regional BRUTOS'!BC$25</f>
        <v>31.1680747808219</v>
      </c>
      <c r="BD13" s="0" t="n">
        <f aca="false">'Datos Regional BRUTOS'!BD13*'Datos Regional BRUTOS'!BD$25</f>
        <v>71.208735869823</v>
      </c>
      <c r="BE13" s="0" t="n">
        <f aca="false">'Datos Regional BRUTOS'!BE13*'Datos Regional BRUTOS'!BE$25</f>
        <v>20.1872332433294</v>
      </c>
      <c r="BF13" s="10" t="n">
        <f aca="false">AVERAGE(B13:BE13)</f>
        <v>75.1953909407776</v>
      </c>
      <c r="BG13" s="0" t="n">
        <v>75.1953909407775</v>
      </c>
    </row>
    <row r="14" customFormat="false" ht="15" hidden="false" customHeight="false" outlineLevel="0" collapsed="false">
      <c r="A14" s="4" t="s">
        <v>68</v>
      </c>
      <c r="B14" s="0" t="n">
        <f aca="false">'Datos Regional BRUTOS'!B14*'Datos Regional BRUTOS'!B$25</f>
        <v>40.6104098317141</v>
      </c>
      <c r="C14" s="0" t="n">
        <f aca="false">'Datos Regional BRUTOS'!C14*'Datos Regional BRUTOS'!C$25</f>
        <v>10.4506789067748</v>
      </c>
      <c r="D14" s="0" t="n">
        <f aca="false">'Datos Regional BRUTOS'!D14*'Datos Regional BRUTOS'!D$25</f>
        <v>34.5410179938791</v>
      </c>
      <c r="E14" s="0" t="n">
        <f aca="false">'Datos Regional BRUTOS'!E14*'Datos Regional BRUTOS'!E$25</f>
        <v>103.764522244763</v>
      </c>
      <c r="F14" s="0" t="n">
        <f aca="false">'Datos Regional BRUTOS'!F14*'Datos Regional BRUTOS'!F$25</f>
        <v>0</v>
      </c>
      <c r="G14" s="0" t="n">
        <f aca="false">'Datos Regional BRUTOS'!G14*'Datos Regional BRUTOS'!G$25</f>
        <v>133.781073121285</v>
      </c>
      <c r="H14" s="0" t="n">
        <f aca="false">'Datos Regional BRUTOS'!H14*'Datos Regional BRUTOS'!H$25</f>
        <v>56.6623119473388</v>
      </c>
      <c r="I14" s="0" t="n">
        <f aca="false">'Datos Regional BRUTOS'!I14*'Datos Regional BRUTOS'!I$25</f>
        <v>163.438282965072</v>
      </c>
      <c r="J14" s="0" t="n">
        <f aca="false">'Datos Regional BRUTOS'!J14*'Datos Regional BRUTOS'!J$25</f>
        <v>62.3942203093356</v>
      </c>
      <c r="K14" s="0" t="n">
        <f aca="false">'Datos Regional BRUTOS'!K14*'Datos Regional BRUTOS'!K$25</f>
        <v>170.173816492756</v>
      </c>
      <c r="L14" s="0" t="n">
        <f aca="false">'Datos Regional BRUTOS'!L14*'Datos Regional BRUTOS'!L$25</f>
        <v>166.466268572745</v>
      </c>
      <c r="M14" s="0" t="n">
        <f aca="false">'Datos Regional BRUTOS'!M14*'Datos Regional BRUTOS'!M$25</f>
        <v>54.0001132964114</v>
      </c>
      <c r="N14" s="0" t="n">
        <f aca="false">'Datos Regional BRUTOS'!N14*'Datos Regional BRUTOS'!N$25</f>
        <v>28.6379248356765</v>
      </c>
      <c r="O14" s="0" t="n">
        <f aca="false">'Datos Regional BRUTOS'!O14*'Datos Regional BRUTOS'!O$25</f>
        <v>50.9409821809591</v>
      </c>
      <c r="P14" s="0" t="n">
        <f aca="false">'Datos Regional BRUTOS'!P14*'Datos Regional BRUTOS'!P$25</f>
        <v>3.61186775688433</v>
      </c>
      <c r="Q14" s="0" t="n">
        <f aca="false">'Datos Regional BRUTOS'!Q14*'Datos Regional BRUTOS'!Q$25</f>
        <v>159.784057268172</v>
      </c>
      <c r="R14" s="0" t="n">
        <f aca="false">'Datos Regional BRUTOS'!R14*'Datos Regional BRUTOS'!R$25</f>
        <v>68.6138415304364</v>
      </c>
      <c r="S14" s="0" t="n">
        <f aca="false">'Datos Regional BRUTOS'!S14*'Datos Regional BRUTOS'!S$25</f>
        <v>29.269924412483</v>
      </c>
      <c r="T14" s="0" t="n">
        <f aca="false">'Datos Regional BRUTOS'!T14*'Datos Regional BRUTOS'!T$25</f>
        <v>44.4167639604563</v>
      </c>
      <c r="U14" s="0" t="n">
        <f aca="false">'Datos Regional BRUTOS'!U14*'Datos Regional BRUTOS'!U$25</f>
        <v>0</v>
      </c>
      <c r="V14" s="0" t="n">
        <f aca="false">'Datos Regional BRUTOS'!V14*'Datos Regional BRUTOS'!V$25</f>
        <v>35.4489657466148</v>
      </c>
      <c r="W14" s="0" t="n">
        <f aca="false">'Datos Regional BRUTOS'!W14*'Datos Regional BRUTOS'!W$25</f>
        <v>0</v>
      </c>
      <c r="X14" s="0" t="n">
        <f aca="false">'Datos Regional BRUTOS'!X14*'Datos Regional BRUTOS'!X$25</f>
        <v>44.0461832684157</v>
      </c>
      <c r="Y14" s="0" t="n">
        <f aca="false">'Datos Regional BRUTOS'!Y14*'Datos Regional BRUTOS'!Y$25</f>
        <v>85.8982043884928</v>
      </c>
      <c r="Z14" s="0" t="n">
        <f aca="false">'Datos Regional BRUTOS'!Z14*'Datos Regional BRUTOS'!Z$25</f>
        <v>25.5681208424075</v>
      </c>
      <c r="AA14" s="0" t="n">
        <f aca="false">'Datos Regional BRUTOS'!AA14*'Datos Regional BRUTOS'!AA$25</f>
        <v>119.739525786534</v>
      </c>
      <c r="AB14" s="0" t="n">
        <f aca="false">'Datos Regional BRUTOS'!AB14*'Datos Regional BRUTOS'!AB$25</f>
        <v>101.395962123521</v>
      </c>
      <c r="AC14" s="0" t="n">
        <f aca="false">'Datos Regional BRUTOS'!AC14*'Datos Regional BRUTOS'!AC$25</f>
        <v>52.2521574755995</v>
      </c>
      <c r="AD14" s="0" t="n">
        <f aca="false">'Datos Regional BRUTOS'!AD14*'Datos Regional BRUTOS'!AD$25</f>
        <v>5.15479293114244</v>
      </c>
      <c r="AE14" s="0" t="n">
        <f aca="false">'Datos Regional BRUTOS'!AE14*'Datos Regional BRUTOS'!AE$25</f>
        <v>128.848694124719</v>
      </c>
      <c r="AF14" s="0" t="n">
        <f aca="false">'Datos Regional BRUTOS'!AF14*'Datos Regional BRUTOS'!AF$25</f>
        <v>5.82581903284563</v>
      </c>
      <c r="AG14" s="0" t="n">
        <f aca="false">'Datos Regional BRUTOS'!AG14*'Datos Regional BRUTOS'!AG$25</f>
        <v>41.7287193230235</v>
      </c>
      <c r="AH14" s="0" t="n">
        <f aca="false">'Datos Regional BRUTOS'!AH14*'Datos Regional BRUTOS'!AH$25</f>
        <v>46.6825523493677</v>
      </c>
      <c r="AI14" s="0" t="n">
        <f aca="false">'Datos Regional BRUTOS'!AI14*'Datos Regional BRUTOS'!AI$25</f>
        <v>35.6904231451278</v>
      </c>
      <c r="AJ14" s="0" t="n">
        <f aca="false">'Datos Regional BRUTOS'!AJ14*'Datos Regional BRUTOS'!AJ$25</f>
        <v>32.4754203772577</v>
      </c>
      <c r="AK14" s="0" t="n">
        <f aca="false">'Datos Regional BRUTOS'!AK14*'Datos Regional BRUTOS'!AK$25</f>
        <v>30.7778815934388</v>
      </c>
      <c r="AL14" s="0" t="n">
        <f aca="false">'Datos Regional BRUTOS'!AL14*'Datos Regional BRUTOS'!AL$25</f>
        <v>49.6665558014439</v>
      </c>
      <c r="AM14" s="0" t="n">
        <f aca="false">'Datos Regional BRUTOS'!AM14*'Datos Regional BRUTOS'!AM$25</f>
        <v>20.5574315206572</v>
      </c>
      <c r="AN14" s="0" t="n">
        <f aca="false">'Datos Regional BRUTOS'!AN14*'Datos Regional BRUTOS'!AN$25</f>
        <v>0</v>
      </c>
      <c r="AO14" s="0" t="n">
        <f aca="false">'Datos Regional BRUTOS'!AO14*'Datos Regional BRUTOS'!AO$25</f>
        <v>90.6412120398304</v>
      </c>
      <c r="AP14" s="0" t="n">
        <f aca="false">'Datos Regional BRUTOS'!AP14*'Datos Regional BRUTOS'!AP$25</f>
        <v>132.107383852702</v>
      </c>
      <c r="AQ14" s="0" t="n">
        <f aca="false">'Datos Regional BRUTOS'!AQ14*'Datos Regional BRUTOS'!AQ$25</f>
        <v>26.7269443627456</v>
      </c>
      <c r="AR14" s="0" t="n">
        <f aca="false">'Datos Regional BRUTOS'!AR14*'Datos Regional BRUTOS'!AR$25</f>
        <v>12.0475103718898</v>
      </c>
      <c r="AS14" s="0" t="n">
        <f aca="false">'Datos Regional BRUTOS'!AS14*'Datos Regional BRUTOS'!AS$25</f>
        <v>141.820657375164</v>
      </c>
      <c r="AT14" s="0" t="n">
        <f aca="false">'Datos Regional BRUTOS'!AT14*'Datos Regional BRUTOS'!AT$25</f>
        <v>88.2354605116927</v>
      </c>
      <c r="AU14" s="0" t="n">
        <f aca="false">'Datos Regional BRUTOS'!AU14*'Datos Regional BRUTOS'!AU$25</f>
        <v>43.5292866479076</v>
      </c>
      <c r="AV14" s="0" t="n">
        <f aca="false">'Datos Regional BRUTOS'!AV14*'Datos Regional BRUTOS'!AV$25</f>
        <v>36.7184727632734</v>
      </c>
      <c r="AW14" s="0" t="n">
        <f aca="false">'Datos Regional BRUTOS'!AW14*'Datos Regional BRUTOS'!AW$25</f>
        <v>174.229449453965</v>
      </c>
      <c r="AX14" s="0" t="n">
        <f aca="false">'Datos Regional BRUTOS'!AX14*'Datos Regional BRUTOS'!AX$25</f>
        <v>164.184904898352</v>
      </c>
      <c r="AY14" s="0" t="n">
        <f aca="false">'Datos Regional BRUTOS'!AY14*'Datos Regional BRUTOS'!AY$25</f>
        <v>66.5233854772493</v>
      </c>
      <c r="AZ14" s="0" t="n">
        <f aca="false">'Datos Regional BRUTOS'!AZ14*'Datos Regional BRUTOS'!AZ$25</f>
        <v>23.1787898140775</v>
      </c>
      <c r="BA14" s="0" t="n">
        <f aca="false">'Datos Regional BRUTOS'!BA14*'Datos Regional BRUTOS'!BA$25</f>
        <v>125.048534580507</v>
      </c>
      <c r="BB14" s="0" t="n">
        <f aca="false">'Datos Regional BRUTOS'!BB14*'Datos Regional BRUTOS'!BB$25</f>
        <v>152.143168999534</v>
      </c>
      <c r="BC14" s="0" t="n">
        <f aca="false">'Datos Regional BRUTOS'!BC14*'Datos Regional BRUTOS'!BC$25</f>
        <v>116.880280428082</v>
      </c>
      <c r="BD14" s="0" t="n">
        <f aca="false">'Datos Regional BRUTOS'!BD14*'Datos Regional BRUTOS'!BD$25</f>
        <v>82.3435211742343</v>
      </c>
      <c r="BE14" s="0" t="n">
        <f aca="false">'Datos Regional BRUTOS'!BE14*'Datos Regional BRUTOS'!BE$25</f>
        <v>88.5643963548407</v>
      </c>
      <c r="BF14" s="10" t="n">
        <f aca="false">AVERAGE(B14:BE14)</f>
        <v>68.0042651172107</v>
      </c>
      <c r="BG14" s="0" t="n">
        <v>68.0042651172107</v>
      </c>
    </row>
    <row r="15" customFormat="false" ht="15" hidden="false" customHeight="false" outlineLevel="0" collapsed="false">
      <c r="A15" s="4" t="s">
        <v>69</v>
      </c>
      <c r="C15" s="0" t="n">
        <f aca="false">'Datos Regional BRUTOS'!C15*'Datos Regional BRUTOS'!C$25</f>
        <v>8.31338287579935</v>
      </c>
      <c r="D15" s="0" t="n">
        <f aca="false">'Datos Regional BRUTOS'!D15*'Datos Regional BRUTOS'!D$25</f>
        <v>0</v>
      </c>
      <c r="E15" s="0" t="n">
        <f aca="false">'Datos Regional BRUTOS'!E15*'Datos Regional BRUTOS'!E$25</f>
        <v>43.8116871803105</v>
      </c>
      <c r="F15" s="0" t="n">
        <f aca="false">'Datos Regional BRUTOS'!F15*'Datos Regional BRUTOS'!F$25</f>
        <v>151.957378141905</v>
      </c>
      <c r="G15" s="0" t="n">
        <f aca="false">'Datos Regional BRUTOS'!G15*'Datos Regional BRUTOS'!G$25</f>
        <v>95.663042807735</v>
      </c>
      <c r="H15" s="0" t="n">
        <f aca="false">'Datos Regional BRUTOS'!H15*'Datos Regional BRUTOS'!H$25</f>
        <v>90.4418223921836</v>
      </c>
      <c r="I15" s="0" t="n">
        <f aca="false">'Datos Regional BRUTOS'!I15*'Datos Regional BRUTOS'!I$25</f>
        <v>73.9289017428675</v>
      </c>
      <c r="J15" s="0" t="n">
        <f aca="false">'Datos Regional BRUTOS'!J15*'Datos Regional BRUTOS'!J$25</f>
        <v>43.8697196909665</v>
      </c>
      <c r="K15" s="0" t="n">
        <f aca="false">'Datos Regional BRUTOS'!K15*'Datos Regional BRUTOS'!K$25</f>
        <v>68.549931973341</v>
      </c>
      <c r="L15" s="0" t="n">
        <f aca="false">'Datos Regional BRUTOS'!L15*'Datos Regional BRUTOS'!L$25</f>
        <v>22.7098632837061</v>
      </c>
      <c r="M15" s="0" t="n">
        <f aca="false">'Datos Regional BRUTOS'!M15*'Datos Regional BRUTOS'!M$25</f>
        <v>61.5025523004363</v>
      </c>
      <c r="N15" s="0" t="n">
        <f aca="false">'Datos Regional BRUTOS'!N15*'Datos Regional BRUTOS'!N$25</f>
        <v>112.713258142428</v>
      </c>
      <c r="O15" s="0" t="n">
        <f aca="false">'Datos Regional BRUTOS'!O15*'Datos Regional BRUTOS'!O$25</f>
        <v>13.3221660480687</v>
      </c>
      <c r="P15" s="0" t="n">
        <f aca="false">'Datos Regional BRUTOS'!P15*'Datos Regional BRUTOS'!P$25</f>
        <v>172.790844471272</v>
      </c>
      <c r="Q15" s="0" t="n">
        <f aca="false">'Datos Regional BRUTOS'!Q15*'Datos Regional BRUTOS'!Q$25</f>
        <v>0</v>
      </c>
      <c r="R15" s="0" t="n">
        <f aca="false">'Datos Regional BRUTOS'!R15*'Datos Regional BRUTOS'!R$25</f>
        <v>11.4356402550727</v>
      </c>
      <c r="S15" s="0" t="n">
        <f aca="false">'Datos Regional BRUTOS'!S15*'Datos Regional BRUTOS'!S$25</f>
        <v>99.1593357647385</v>
      </c>
      <c r="T15" s="0" t="n">
        <f aca="false">'Datos Regional BRUTOS'!T15*'Datos Regional BRUTOS'!T$25</f>
        <v>175.178928742543</v>
      </c>
      <c r="U15" s="0" t="n">
        <f aca="false">'Datos Regional BRUTOS'!U15*'Datos Regional BRUTOS'!U$25</f>
        <v>136.982295420011</v>
      </c>
      <c r="V15" s="0" t="n">
        <f aca="false">'Datos Regional BRUTOS'!V15*'Datos Regional BRUTOS'!V$25</f>
        <v>88.6224143665369</v>
      </c>
      <c r="W15" s="0" t="n">
        <f aca="false">'Datos Regional BRUTOS'!W15*'Datos Regional BRUTOS'!W$25</f>
        <v>0</v>
      </c>
      <c r="X15" s="0" t="n">
        <f aca="false">'Datos Regional BRUTOS'!X15*'Datos Regional BRUTOS'!X$25</f>
        <v>102.250068301679</v>
      </c>
      <c r="Y15" s="0" t="n">
        <f aca="false">'Datos Regional BRUTOS'!Y15*'Datos Regional BRUTOS'!Y$25</f>
        <v>0</v>
      </c>
      <c r="Z15" s="0" t="n">
        <f aca="false">'Datos Regional BRUTOS'!Z15*'Datos Regional BRUTOS'!Z$25</f>
        <v>49.4317002953212</v>
      </c>
      <c r="AA15" s="0" t="n">
        <f aca="false">'Datos Regional BRUTOS'!AA15*'Datos Regional BRUTOS'!AA$25</f>
        <v>32.8407941402562</v>
      </c>
      <c r="AB15" s="0" t="n">
        <f aca="false">'Datos Regional BRUTOS'!AB15*'Datos Regional BRUTOS'!AB$25</f>
        <v>18.6252995562025</v>
      </c>
      <c r="AC15" s="0" t="n">
        <f aca="false">'Datos Regional BRUTOS'!AC15*'Datos Regional BRUTOS'!AC$25</f>
        <v>31.5831657144367</v>
      </c>
      <c r="AD15" s="0" t="n">
        <f aca="false">'Datos Regional BRUTOS'!AD15*'Datos Regional BRUTOS'!AD$25</f>
        <v>113.985778117182</v>
      </c>
      <c r="AE15" s="0" t="n">
        <f aca="false">'Datos Regional BRUTOS'!AE15*'Datos Regional BRUTOS'!AE$25</f>
        <v>13.3160036114676</v>
      </c>
      <c r="AF15" s="0" t="n">
        <f aca="false">'Datos Regional BRUTOS'!AF15*'Datos Regional BRUTOS'!AF$25</f>
        <v>177.789996786131</v>
      </c>
      <c r="AG15" s="0" t="n">
        <f aca="false">'Datos Regional BRUTOS'!AG15*'Datos Regional BRUTOS'!AG$25</f>
        <v>95.6090914309372</v>
      </c>
      <c r="AH15" s="0" t="n">
        <f aca="false">'Datos Regional BRUTOS'!AH15*'Datos Regional BRUTOS'!AH$25</f>
        <v>114.348562446962</v>
      </c>
      <c r="AI15" s="0" t="n">
        <f aca="false">'Datos Regional BRUTOS'!AI15*'Datos Regional BRUTOS'!AI$25</f>
        <v>50.4452158495982</v>
      </c>
      <c r="AJ15" s="0" t="n">
        <f aca="false">'Datos Regional BRUTOS'!AJ15*'Datos Regional BRUTOS'!AJ$25</f>
        <v>17.3771623342236</v>
      </c>
      <c r="AK15" s="0" t="n">
        <f aca="false">'Datos Regional BRUTOS'!AK15*'Datos Regional BRUTOS'!AK$25</f>
        <v>105.87049160967</v>
      </c>
      <c r="AL15" s="0" t="n">
        <f aca="false">'Datos Regional BRUTOS'!AL15*'Datos Regional BRUTOS'!AL$25</f>
        <v>76.2919259218056</v>
      </c>
      <c r="AM15" s="0" t="n">
        <f aca="false">'Datos Regional BRUTOS'!AM15*'Datos Regional BRUTOS'!AM$25</f>
        <v>66.4163172205849</v>
      </c>
      <c r="AN15" s="0" t="n">
        <f aca="false">'Datos Regional BRUTOS'!AN15*'Datos Regional BRUTOS'!AN$25</f>
        <v>53.9274909747799</v>
      </c>
      <c r="AO15" s="0" t="n">
        <f aca="false">'Datos Regional BRUTOS'!AO15*'Datos Regional BRUTOS'!AO$25</f>
        <v>46.0891025614677</v>
      </c>
      <c r="AP15" s="0" t="n">
        <f aca="false">'Datos Regional BRUTOS'!AP15*'Datos Regional BRUTOS'!AP$25</f>
        <v>106.659764231425</v>
      </c>
      <c r="AQ15" s="0" t="n">
        <f aca="false">'Datos Regional BRUTOS'!AQ15*'Datos Regional BRUTOS'!AQ$25</f>
        <v>125.553230456184</v>
      </c>
      <c r="AR15" s="0" t="n">
        <f aca="false">'Datos Regional BRUTOS'!AR15*'Datos Regional BRUTOS'!AR$25</f>
        <v>71.0809792908154</v>
      </c>
      <c r="AS15" s="0" t="n">
        <f aca="false">'Datos Regional BRUTOS'!AS15*'Datos Regional BRUTOS'!AS$25</f>
        <v>0</v>
      </c>
      <c r="AT15" s="0" t="n">
        <f aca="false">'Datos Regional BRUTOS'!AT15*'Datos Regional BRUTOS'!AT$25</f>
        <v>0</v>
      </c>
      <c r="AU15" s="0" t="n">
        <f aca="false">'Datos Regional BRUTOS'!AU15*'Datos Regional BRUTOS'!AU$25</f>
        <v>12.8611694498696</v>
      </c>
      <c r="AV15" s="0" t="n">
        <f aca="false">'Datos Regional BRUTOS'!AV15*'Datos Regional BRUTOS'!AV$25</f>
        <v>37.7241831548233</v>
      </c>
      <c r="AW15" s="0" t="n">
        <f aca="false">'Datos Regional BRUTOS'!AW15*'Datos Regional BRUTOS'!AW$25</f>
        <v>147.14745634302</v>
      </c>
      <c r="AX15" s="0" t="n">
        <f aca="false">'Datos Regional BRUTOS'!AX15*'Datos Regional BRUTOS'!AX$25</f>
        <v>114.704994562662</v>
      </c>
      <c r="AY15" s="0" t="n">
        <f aca="false">'Datos Regional BRUTOS'!AY15*'Datos Regional BRUTOS'!AY$25</f>
        <v>114.218940183614</v>
      </c>
      <c r="AZ15" s="0" t="n">
        <f aca="false">'Datos Regional BRUTOS'!AZ15*'Datos Regional BRUTOS'!AZ$25</f>
        <v>56.3015288675133</v>
      </c>
      <c r="BA15" s="0" t="n">
        <f aca="false">'Datos Regional BRUTOS'!BA15*'Datos Regional BRUTOS'!BA$25</f>
        <v>92.0645678679522</v>
      </c>
      <c r="BB15" s="0" t="n">
        <f aca="false">'Datos Regional BRUTOS'!BB15*'Datos Regional BRUTOS'!BB$25</f>
        <v>106.304365294333</v>
      </c>
      <c r="BC15" s="0" t="n">
        <f aca="false">'Datos Regional BRUTOS'!BC15*'Datos Regional BRUTOS'!BC$25</f>
        <v>49.3494517363013</v>
      </c>
      <c r="BD15" s="0" t="n">
        <f aca="false">'Datos Regional BRUTOS'!BD15*'Datos Regional BRUTOS'!BD$25</f>
        <v>12.2411880064027</v>
      </c>
      <c r="BE15" s="0" t="n">
        <f aca="false">'Datos Regional BRUTOS'!BE15*'Datos Regional BRUTOS'!BE$25</f>
        <v>58.985329084015</v>
      </c>
      <c r="BF15" s="10" t="n">
        <f aca="false">AVERAGE(B15:BE15)</f>
        <v>68.0426996545738</v>
      </c>
      <c r="BG15" s="0" t="n">
        <v>68.0426996545738</v>
      </c>
    </row>
    <row r="16" customFormat="false" ht="15" hidden="false" customHeight="false" outlineLevel="0" collapsed="false">
      <c r="A16" s="4" t="s">
        <v>70</v>
      </c>
      <c r="B16" s="0" t="n">
        <f aca="false">'Datos Regional BRUTOS'!B16*'Datos Regional BRUTOS'!B$25</f>
        <v>24.973132997569</v>
      </c>
      <c r="D16" s="0" t="n">
        <f aca="false">'Datos Regional BRUTOS'!D16*'Datos Regional BRUTOS'!D$25</f>
        <v>102.723923022789</v>
      </c>
      <c r="E16" s="0" t="n">
        <f aca="false">'Datos Regional BRUTOS'!E16*'Datos Regional BRUTOS'!E$25</f>
        <v>18.4470261819965</v>
      </c>
      <c r="F16" s="0" t="n">
        <f aca="false">'Datos Regional BRUTOS'!F16*'Datos Regional BRUTOS'!F$25</f>
        <v>31.3562843710111</v>
      </c>
      <c r="G16" s="0" t="n">
        <f aca="false">'Datos Regional BRUTOS'!G16*'Datos Regional BRUTOS'!G$25</f>
        <v>143.91051630084</v>
      </c>
      <c r="H16" s="0" t="n">
        <f aca="false">'Datos Regional BRUTOS'!H16*'Datos Regional BRUTOS'!H$25</f>
        <v>67.3336904436975</v>
      </c>
      <c r="I16" s="0" t="n">
        <f aca="false">'Datos Regional BRUTOS'!I16*'Datos Regional BRUTOS'!I$25</f>
        <v>161.27480439954</v>
      </c>
      <c r="J16" s="0" t="n">
        <f aca="false">'Datos Regional BRUTOS'!J16*'Datos Regional BRUTOS'!J$25</f>
        <v>83.6999178621792</v>
      </c>
      <c r="K16" s="0" t="n">
        <f aca="false">'Datos Regional BRUTOS'!K16*'Datos Regional BRUTOS'!K$25</f>
        <v>60.8219579993482</v>
      </c>
      <c r="L16" s="0" t="n">
        <f aca="false">'Datos Regional BRUTOS'!L16*'Datos Regional BRUTOS'!L$25</f>
        <v>58.2097066999447</v>
      </c>
      <c r="M16" s="0" t="n">
        <f aca="false">'Datos Regional BRUTOS'!M16*'Datos Regional BRUTOS'!M$25</f>
        <v>111.751446094835</v>
      </c>
      <c r="N16" s="0" t="n">
        <f aca="false">'Datos Regional BRUTOS'!N16*'Datos Regional BRUTOS'!N$25</f>
        <v>27.7520218009692</v>
      </c>
      <c r="O16" s="0" t="n">
        <f aca="false">'Datos Regional BRUTOS'!O16*'Datos Regional BRUTOS'!O$25</f>
        <v>91.4635656000894</v>
      </c>
      <c r="P16" s="0" t="n">
        <f aca="false">'Datos Regional BRUTOS'!P16*'Datos Regional BRUTOS'!P$25</f>
        <v>91.8023040079645</v>
      </c>
      <c r="Q16" s="0" t="n">
        <f aca="false">'Datos Regional BRUTOS'!Q16*'Datos Regional BRUTOS'!Q$25</f>
        <v>76.4910501220349</v>
      </c>
      <c r="R16" s="0" t="n">
        <f aca="false">'Datos Regional BRUTOS'!R16*'Datos Regional BRUTOS'!R$25</f>
        <v>22.8712805101455</v>
      </c>
      <c r="S16" s="0" t="n">
        <f aca="false">'Datos Regional BRUTOS'!S16*'Datos Regional BRUTOS'!S$25</f>
        <v>28.6725790163099</v>
      </c>
      <c r="T16" s="0" t="n">
        <f aca="false">'Datos Regional BRUTOS'!T16*'Datos Regional BRUTOS'!T$25</f>
        <v>44.9587322395079</v>
      </c>
      <c r="U16" s="0" t="n">
        <f aca="false">'Datos Regional BRUTOS'!U16*'Datos Regional BRUTOS'!U$25</f>
        <v>15.4210996493456</v>
      </c>
      <c r="V16" s="0" t="n">
        <f aca="false">'Datos Regional BRUTOS'!V16*'Datos Regional BRUTOS'!V$25</f>
        <v>65.9744640284219</v>
      </c>
      <c r="W16" s="0" t="n">
        <f aca="false">'Datos Regional BRUTOS'!W16*'Datos Regional BRUTOS'!W$25</f>
        <v>173.754709809677</v>
      </c>
      <c r="X16" s="0" t="n">
        <f aca="false">'Datos Regional BRUTOS'!X16*'Datos Regional BRUTOS'!X$25</f>
        <v>62.9231189548796</v>
      </c>
      <c r="Y16" s="0" t="n">
        <f aca="false">'Datos Regional BRUTOS'!Y16*'Datos Regional BRUTOS'!Y$25</f>
        <v>59.7552726180819</v>
      </c>
      <c r="Z16" s="0" t="n">
        <f aca="false">'Datos Regional BRUTOS'!Z16*'Datos Regional BRUTOS'!Z$25</f>
        <v>25.5681208424075</v>
      </c>
      <c r="AA16" s="0" t="n">
        <f aca="false">'Datos Regional BRUTOS'!AA16*'Datos Regional BRUTOS'!AA$25</f>
        <v>92.942978685112</v>
      </c>
      <c r="AB16" s="0" t="n">
        <f aca="false">'Datos Regional BRUTOS'!AB16*'Datos Regional BRUTOS'!AB$25</f>
        <v>109.684848959943</v>
      </c>
      <c r="AC16" s="0" t="n">
        <f aca="false">'Datos Regional BRUTOS'!AC16*'Datos Regional BRUTOS'!AC$25</f>
        <v>21.1684347510238</v>
      </c>
      <c r="AD16" s="0" t="n">
        <f aca="false">'Datos Regional BRUTOS'!AD16*'Datos Regional BRUTOS'!AD$25</f>
        <v>0</v>
      </c>
      <c r="AE16" s="0" t="n">
        <f aca="false">'Datos Regional BRUTOS'!AE16*'Datos Regional BRUTOS'!AE$25</f>
        <v>68.9689453396037</v>
      </c>
      <c r="AF16" s="0" t="n">
        <f aca="false">'Datos Regional BRUTOS'!AF16*'Datos Regional BRUTOS'!AF$25</f>
        <v>101.999557390051</v>
      </c>
      <c r="AG16" s="0" t="n">
        <f aca="false">'Datos Regional BRUTOS'!AG16*'Datos Regional BRUTOS'!AG$25</f>
        <v>112.664016504323</v>
      </c>
      <c r="AH16" s="0" t="n">
        <f aca="false">'Datos Regional BRUTOS'!AH16*'Datos Regional BRUTOS'!AH$25</f>
        <v>138.88911429</v>
      </c>
      <c r="AI16" s="0" t="n">
        <f aca="false">'Datos Regional BRUTOS'!AI16*'Datos Regional BRUTOS'!AI$25</f>
        <v>41.7237938212483</v>
      </c>
      <c r="AJ16" s="0" t="n">
        <f aca="false">'Datos Regional BRUTOS'!AJ16*'Datos Regional BRUTOS'!AJ$25</f>
        <v>75.6446976142637</v>
      </c>
      <c r="AK16" s="0" t="n">
        <f aca="false">'Datos Regional BRUTOS'!AK16*'Datos Regional BRUTOS'!AK$25</f>
        <v>160.185535240939</v>
      </c>
      <c r="AL16" s="0" t="n">
        <f aca="false">'Datos Regional BRUTOS'!AL16*'Datos Regional BRUTOS'!AL$25</f>
        <v>107.909552939735</v>
      </c>
      <c r="AM16" s="0" t="n">
        <f aca="false">'Datos Regional BRUTOS'!AM16*'Datos Regional BRUTOS'!AM$25</f>
        <v>14.1390479237099</v>
      </c>
      <c r="AN16" s="0" t="n">
        <f aca="false">'Datos Regional BRUTOS'!AN16*'Datos Regional BRUTOS'!AN$25</f>
        <v>96.5121904461617</v>
      </c>
      <c r="AO16" s="0" t="n">
        <f aca="false">'Datos Regional BRUTOS'!AO16*'Datos Regional BRUTOS'!AO$25</f>
        <v>107.877073280141</v>
      </c>
      <c r="AP16" s="0" t="n">
        <f aca="false">'Datos Regional BRUTOS'!AP16*'Datos Regional BRUTOS'!AP$25</f>
        <v>0</v>
      </c>
      <c r="AQ16" s="0" t="n">
        <f aca="false">'Datos Regional BRUTOS'!AQ16*'Datos Regional BRUTOS'!AQ$25</f>
        <v>32.208737292203</v>
      </c>
      <c r="AR16" s="0" t="n">
        <f aca="false">'Datos Regional BRUTOS'!AR16*'Datos Regional BRUTOS'!AR$25</f>
        <v>0</v>
      </c>
      <c r="AS16" s="0" t="n">
        <f aca="false">'Datos Regional BRUTOS'!AS16*'Datos Regional BRUTOS'!AS$25</f>
        <v>11.5892987674067</v>
      </c>
      <c r="AT16" s="0" t="n">
        <f aca="false">'Datos Regional BRUTOS'!AT16*'Datos Regional BRUTOS'!AT$25</f>
        <v>106.33116474851</v>
      </c>
      <c r="AU16" s="0" t="n">
        <f aca="false">'Datos Regional BRUTOS'!AU16*'Datos Regional BRUTOS'!AU$25</f>
        <v>57.3262399006849</v>
      </c>
      <c r="AV16" s="0" t="n">
        <f aca="false">'Datos Regional BRUTOS'!AV16*'Datos Regional BRUTOS'!AV$25</f>
        <v>93.4902572994993</v>
      </c>
      <c r="AW16" s="0" t="n">
        <f aca="false">'Datos Regional BRUTOS'!AW16*'Datos Regional BRUTOS'!AW$25</f>
        <v>80.6773554857392</v>
      </c>
      <c r="AX16" s="0" t="n">
        <f aca="false">'Datos Regional BRUTOS'!AX16*'Datos Regional BRUTOS'!AX$25</f>
        <v>126.575343796133</v>
      </c>
      <c r="AY16" s="0" t="n">
        <f aca="false">'Datos Regional BRUTOS'!AY16*'Datos Regional BRUTOS'!AY$25</f>
        <v>74.4441171900721</v>
      </c>
      <c r="AZ16" s="0" t="n">
        <f aca="false">'Datos Regional BRUTOS'!AZ16*'Datos Regional BRUTOS'!AZ$25</f>
        <v>60.2737912225009</v>
      </c>
      <c r="BA16" s="0" t="n">
        <f aca="false">'Datos Regional BRUTOS'!BA16*'Datos Regional BRUTOS'!BA$25</f>
        <v>20.257856263998</v>
      </c>
      <c r="BB16" s="0" t="n">
        <f aca="false">'Datos Regional BRUTOS'!BB16*'Datos Regional BRUTOS'!BB$25</f>
        <v>27.6063000523066</v>
      </c>
      <c r="BC16" s="0" t="n">
        <f aca="false">'Datos Regional BRUTOS'!BC16*'Datos Regional BRUTOS'!BC$25</f>
        <v>20.7787165205479</v>
      </c>
      <c r="BD16" s="0" t="n">
        <f aca="false">'Datos Regional BRUTOS'!BD16*'Datos Regional BRUTOS'!BD$25</f>
        <v>72.7680932195762</v>
      </c>
      <c r="BE16" s="0" t="n">
        <f aca="false">'Datos Regional BRUTOS'!BE16*'Datos Regional BRUTOS'!BE$25</f>
        <v>34.6305981074524</v>
      </c>
      <c r="BF16" s="10" t="n">
        <f aca="false">AVERAGE(B16:BE16)</f>
        <v>67.6577887750268</v>
      </c>
      <c r="BG16" s="0" t="n">
        <v>67.6577887750267</v>
      </c>
    </row>
    <row r="17" customFormat="false" ht="15" hidden="false" customHeight="false" outlineLevel="0" collapsed="false">
      <c r="A17" s="4" t="s">
        <v>71</v>
      </c>
      <c r="B17" s="0" t="n">
        <f aca="false">'Datos Regional BRUTOS'!B17*'Datos Regional BRUTOS'!B$25</f>
        <v>38.5835789750168</v>
      </c>
      <c r="C17" s="0" t="n">
        <f aca="false">'Datos Regional BRUTOS'!C17*'Datos Regional BRUTOS'!C$25</f>
        <v>17.177146473072</v>
      </c>
      <c r="D17" s="0" t="n">
        <f aca="false">'Datos Regional BRUTOS'!D17*'Datos Regional BRUTOS'!D$25</f>
        <v>38.9842046624002</v>
      </c>
      <c r="E17" s="0" t="n">
        <f aca="false">'Datos Regional BRUTOS'!E17*'Datos Regional BRUTOS'!E$25</f>
        <v>28.8234784064728</v>
      </c>
      <c r="F17" s="0" t="n">
        <f aca="false">'Datos Regional BRUTOS'!F17*'Datos Regional BRUTOS'!F$25</f>
        <v>12.0601093770894</v>
      </c>
      <c r="G17" s="0" t="n">
        <f aca="false">'Datos Regional BRUTOS'!G17*'Datos Regional BRUTOS'!G$25</f>
        <v>111.81322778845</v>
      </c>
      <c r="H17" s="0" t="n">
        <f aca="false">'Datos Regional BRUTOS'!H17*'Datos Regional BRUTOS'!H$25</f>
        <v>38.2480828925264</v>
      </c>
      <c r="I17" s="0" t="n">
        <f aca="false">'Datos Regional BRUTOS'!I17*'Datos Regional BRUTOS'!I$25</f>
        <v>153.885379138286</v>
      </c>
      <c r="J17" s="0" t="n">
        <f aca="false">'Datos Regional BRUTOS'!J17*'Datos Regional BRUTOS'!J$25</f>
        <v>115.848712012446</v>
      </c>
      <c r="K17" s="0" t="n">
        <f aca="false">'Datos Regional BRUTOS'!K17*'Datos Regional BRUTOS'!K$25</f>
        <v>117.375083665705</v>
      </c>
      <c r="L17" s="0" t="n">
        <f aca="false">'Datos Regional BRUTOS'!L17*'Datos Regional BRUTOS'!L$25</f>
        <v>114.729636522733</v>
      </c>
      <c r="M17" s="0" t="n">
        <f aca="false">'Datos Regional BRUTOS'!M17*'Datos Regional BRUTOS'!M$25</f>
        <v>139.49302287716</v>
      </c>
      <c r="N17" s="0" t="n">
        <f aca="false">'Datos Regional BRUTOS'!N17*'Datos Regional BRUTOS'!N$25</f>
        <v>42.0405483059546</v>
      </c>
      <c r="O17" s="0" t="n">
        <f aca="false">'Datos Regional BRUTOS'!O17*'Datos Regional BRUTOS'!O$25</f>
        <v>177.444115045292</v>
      </c>
      <c r="P17" s="0" t="n">
        <f aca="false">'Datos Regional BRUTOS'!P17*'Datos Regional BRUTOS'!P$25</f>
        <v>121.231163811171</v>
      </c>
      <c r="Q17" s="0" t="n">
        <f aca="false">'Datos Regional BRUTOS'!Q17*'Datos Regional BRUTOS'!Q$25</f>
        <v>48.6964463748384</v>
      </c>
      <c r="R17" s="0" t="n">
        <f aca="false">'Datos Regional BRUTOS'!R17*'Datos Regional BRUTOS'!R$25</f>
        <v>0</v>
      </c>
      <c r="S17" s="0" t="n">
        <f aca="false">'Datos Regional BRUTOS'!S17*'Datos Regional BRUTOS'!S$25</f>
        <v>0</v>
      </c>
      <c r="T17" s="0" t="n">
        <f aca="false">'Datos Regional BRUTOS'!T17*'Datos Regional BRUTOS'!T$25</f>
        <v>0</v>
      </c>
      <c r="U17" s="0" t="n">
        <f aca="false">'Datos Regional BRUTOS'!U17*'Datos Regional BRUTOS'!U$25</f>
        <v>2.15782420001829</v>
      </c>
      <c r="V17" s="0" t="n">
        <f aca="false">'Datos Regional BRUTOS'!V17*'Datos Regional BRUTOS'!V$25</f>
        <v>0</v>
      </c>
      <c r="W17" s="0" t="n">
        <f aca="false">'Datos Regional BRUTOS'!W17*'Datos Regional BRUTOS'!W$25</f>
        <v>0</v>
      </c>
      <c r="X17" s="0" t="n">
        <f aca="false">'Datos Regional BRUTOS'!X17*'Datos Regional BRUTOS'!X$25</f>
        <v>0</v>
      </c>
      <c r="Y17" s="0" t="n">
        <f aca="false">'Datos Regional BRUTOS'!Y17*'Datos Regional BRUTOS'!Y$25</f>
        <v>105.720866939683</v>
      </c>
      <c r="Z17" s="0" t="n">
        <f aca="false">'Datos Regional BRUTOS'!Z17*'Datos Regional BRUTOS'!Z$25</f>
        <v>0</v>
      </c>
      <c r="AA17" s="0" t="n">
        <f aca="false">'Datos Regional BRUTOS'!AA17*'Datos Regional BRUTOS'!AA$25</f>
        <v>164.531793245283</v>
      </c>
      <c r="AB17" s="0" t="n">
        <f aca="false">'Datos Regional BRUTOS'!AB17*'Datos Regional BRUTOS'!AB$25</f>
        <v>160.719715576492</v>
      </c>
      <c r="AC17" s="0" t="n">
        <f aca="false">'Datos Regional BRUTOS'!AC17*'Datos Regional BRUTOS'!AC$25</f>
        <v>67.4044325866006</v>
      </c>
      <c r="AD17" s="0" t="n">
        <f aca="false">'Datos Regional BRUTOS'!AD17*'Datos Regional BRUTOS'!AD$25</f>
        <v>8.84636872237942</v>
      </c>
      <c r="AE17" s="0" t="n">
        <f aca="false">'Datos Regional BRUTOS'!AE17*'Datos Regional BRUTOS'!AE$25</f>
        <v>160.587296347172</v>
      </c>
      <c r="AF17" s="0" t="n">
        <f aca="false">'Datos Regional BRUTOS'!AF17*'Datos Regional BRUTOS'!AF$25</f>
        <v>26.0863320639092</v>
      </c>
      <c r="AG17" s="0" t="n">
        <f aca="false">'Datos Regional BRUTOS'!AG17*'Datos Regional BRUTOS'!AG$25</f>
        <v>177.552626963986</v>
      </c>
      <c r="AH17" s="0" t="n">
        <f aca="false">'Datos Regional BRUTOS'!AH17*'Datos Regional BRUTOS'!AH$25</f>
        <v>112.46861117326</v>
      </c>
      <c r="AI17" s="0" t="n">
        <f aca="false">'Datos Regional BRUTOS'!AI17*'Datos Regional BRUTOS'!AI$25</f>
        <v>102.485859988859</v>
      </c>
      <c r="AJ17" s="0" t="n">
        <f aca="false">'Datos Regional BRUTOS'!AJ17*'Datos Regional BRUTOS'!AJ$25</f>
        <v>0</v>
      </c>
      <c r="AK17" s="0" t="n">
        <f aca="false">'Datos Regional BRUTOS'!AK17*'Datos Regional BRUTOS'!AK$25</f>
        <v>127.083811234391</v>
      </c>
      <c r="AL17" s="0" t="n">
        <f aca="false">'Datos Regional BRUTOS'!AL17*'Datos Regional BRUTOS'!AL$25</f>
        <v>141.95930511289</v>
      </c>
      <c r="AM17" s="0" t="n">
        <f aca="false">'Datos Regional BRUTOS'!AM17*'Datos Regional BRUTOS'!AM$25</f>
        <v>11.2554263076902</v>
      </c>
      <c r="AN17" s="0" t="n">
        <f aca="false">'Datos Regional BRUTOS'!AN17*'Datos Regional BRUTOS'!AN$25</f>
        <v>0.283602204436702</v>
      </c>
      <c r="AO17" s="0" t="n">
        <f aca="false">'Datos Regional BRUTOS'!AO17*'Datos Regional BRUTOS'!AO$25</f>
        <v>130.946565723651</v>
      </c>
      <c r="AP17" s="0" t="n">
        <f aca="false">'Datos Regional BRUTOS'!AP17*'Datos Regional BRUTOS'!AP$25</f>
        <v>182.537393229018</v>
      </c>
      <c r="AQ17" s="0" t="n">
        <f aca="false">'Datos Regional BRUTOS'!AQ17*'Datos Regional BRUTOS'!AQ$25</f>
        <v>25.1842133146782</v>
      </c>
      <c r="AR17" s="0" t="n">
        <f aca="false">'Datos Regional BRUTOS'!AR17*'Datos Regional BRUTOS'!AR$25</f>
        <v>7.69207855183962</v>
      </c>
      <c r="AS17" s="0" t="n">
        <f aca="false">'Datos Regional BRUTOS'!AS17*'Datos Regional BRUTOS'!AS$25</f>
        <v>32.6483332703382</v>
      </c>
      <c r="AT17" s="0" t="n">
        <f aca="false">'Datos Regional BRUTOS'!AT17*'Datos Regional BRUTOS'!AT$25</f>
        <v>128.269054044222</v>
      </c>
      <c r="AU17" s="0" t="n">
        <f aca="false">'Datos Regional BRUTOS'!AU17*'Datos Regional BRUTOS'!AU$25</f>
        <v>85.6184266946284</v>
      </c>
      <c r="AV17" s="0" t="n">
        <f aca="false">'Datos Regional BRUTOS'!AV17*'Datos Regional BRUTOS'!AV$25</f>
        <v>0</v>
      </c>
      <c r="AW17" s="0" t="n">
        <f aca="false">'Datos Regional BRUTOS'!AW17*'Datos Regional BRUTOS'!AW$25</f>
        <v>150.889296714134</v>
      </c>
      <c r="AX17" s="0" t="n">
        <f aca="false">'Datos Regional BRUTOS'!AX17*'Datos Regional BRUTOS'!AX$25</f>
        <v>69.3737978397797</v>
      </c>
      <c r="AY17" s="0" t="n">
        <f aca="false">'Datos Regional BRUTOS'!AY17*'Datos Regional BRUTOS'!AY$25</f>
        <v>53.7866218552689</v>
      </c>
      <c r="AZ17" s="0" t="n">
        <f aca="false">'Datos Regional BRUTOS'!AZ17*'Datos Regional BRUTOS'!AZ$25</f>
        <v>79.1644714408466</v>
      </c>
      <c r="BA17" s="0" t="n">
        <f aca="false">'Datos Regional BRUTOS'!BA17*'Datos Regional BRUTOS'!BA$25</f>
        <v>119.240389934014</v>
      </c>
      <c r="BB17" s="0" t="n">
        <f aca="false">'Datos Regional BRUTOS'!BB17*'Datos Regional BRUTOS'!BB$25</f>
        <v>143.985507959555</v>
      </c>
      <c r="BC17" s="0" t="n">
        <f aca="false">'Datos Regional BRUTOS'!BC17*'Datos Regional BRUTOS'!BC$25</f>
        <v>32.4667445633561</v>
      </c>
      <c r="BD17" s="0" t="n">
        <f aca="false">'Datos Regional BRUTOS'!BD17*'Datos Regional BRUTOS'!BD$25</f>
        <v>174.941558920398</v>
      </c>
      <c r="BE17" s="0" t="n">
        <f aca="false">'Datos Regional BRUTOS'!BE17*'Datos Regional BRUTOS'!BE$25</f>
        <v>79.8171981814806</v>
      </c>
      <c r="BF17" s="10" t="n">
        <f aca="false">AVERAGE(B17:BE17)</f>
        <v>74.6810618077299</v>
      </c>
      <c r="BG17" s="0" t="n">
        <v>74.6810618077299</v>
      </c>
    </row>
    <row r="18" customFormat="false" ht="15" hidden="false" customHeight="false" outlineLevel="0" collapsed="false">
      <c r="A18" s="4" t="s">
        <v>72</v>
      </c>
      <c r="B18" s="0" t="n">
        <f aca="false">'Datos Regional BRUTOS'!B18*'Datos Regional BRUTOS'!B$25</f>
        <v>44.5383223929441</v>
      </c>
      <c r="C18" s="0" t="n">
        <f aca="false">'Datos Regional BRUTOS'!C18*'Datos Regional BRUTOS'!C$25</f>
        <v>5.57566151342991</v>
      </c>
      <c r="D18" s="0" t="n">
        <f aca="false">'Datos Regional BRUTOS'!D18*'Datos Regional BRUTOS'!D$25</f>
        <v>157.423401285399</v>
      </c>
      <c r="E18" s="0" t="n">
        <f aca="false">'Datos Regional BRUTOS'!E18*'Datos Regional BRUTOS'!E$25</f>
        <v>0</v>
      </c>
      <c r="F18" s="0" t="n">
        <f aca="false">'Datos Regional BRUTOS'!F18*'Datos Regional BRUTOS'!F$25</f>
        <v>77.1847000030391</v>
      </c>
      <c r="G18" s="0" t="n">
        <f aca="false">'Datos Regional BRUTOS'!G18*'Datos Regional BRUTOS'!G$25</f>
        <v>149.319403946169</v>
      </c>
      <c r="H18" s="0" t="n">
        <f aca="false">'Datos Regional BRUTOS'!H18*'Datos Regional BRUTOS'!H$25</f>
        <v>52.7278304627167</v>
      </c>
      <c r="I18" s="0" t="n">
        <f aca="false">'Datos Regional BRUTOS'!I18*'Datos Regional BRUTOS'!I$25</f>
        <v>109.928302514091</v>
      </c>
      <c r="J18" s="0" t="n">
        <f aca="false">'Datos Regional BRUTOS'!J18*'Datos Regional BRUTOS'!J$25</f>
        <v>98.833436377546</v>
      </c>
      <c r="K18" s="0" t="n">
        <f aca="false">'Datos Regional BRUTOS'!K18*'Datos Regional BRUTOS'!K$25</f>
        <v>55.1609088783026</v>
      </c>
      <c r="L18" s="0" t="n">
        <f aca="false">'Datos Regional BRUTOS'!L18*'Datos Regional BRUTOS'!L$25</f>
        <v>73.205771913256</v>
      </c>
      <c r="M18" s="0" t="n">
        <f aca="false">'Datos Regional BRUTOS'!M18*'Datos Regional BRUTOS'!M$25</f>
        <v>123.703005903573</v>
      </c>
      <c r="N18" s="0" t="n">
        <f aca="false">'Datos Regional BRUTOS'!N18*'Datos Regional BRUTOS'!N$25</f>
        <v>41.2817771552427</v>
      </c>
      <c r="O18" s="0" t="n">
        <f aca="false">'Datos Regional BRUTOS'!O18*'Datos Regional BRUTOS'!O$25</f>
        <v>92.196354159116</v>
      </c>
      <c r="P18" s="0" t="n">
        <f aca="false">'Datos Regional BRUTOS'!P18*'Datos Regional BRUTOS'!P$25</f>
        <v>0</v>
      </c>
      <c r="Q18" s="0" t="n">
        <f aca="false">'Datos Regional BRUTOS'!Q18*'Datos Regional BRUTOS'!Q$25</f>
        <v>163.195349236709</v>
      </c>
      <c r="R18" s="0" t="n">
        <f aca="false">'Datos Regional BRUTOS'!R18*'Datos Regional BRUTOS'!R$25</f>
        <v>11.4356402550727</v>
      </c>
      <c r="S18" s="0" t="n">
        <f aca="false">'Datos Regional BRUTOS'!S18*'Datos Regional BRUTOS'!S$25</f>
        <v>59.7345396173123</v>
      </c>
      <c r="T18" s="0" t="n">
        <f aca="false">'Datos Regional BRUTOS'!T18*'Datos Regional BRUTOS'!T$25</f>
        <v>112.064259154806</v>
      </c>
      <c r="U18" s="0" t="n">
        <f aca="false">'Datos Regional BRUTOS'!U18*'Datos Regional BRUTOS'!U$25</f>
        <v>119.685809293163</v>
      </c>
      <c r="V18" s="0" t="n">
        <f aca="false">'Datos Regional BRUTOS'!V18*'Datos Regional BRUTOS'!V$25</f>
        <v>59.0816095776913</v>
      </c>
      <c r="W18" s="0" t="n">
        <f aca="false">'Datos Regional BRUTOS'!W18*'Datos Regional BRUTOS'!W$25</f>
        <v>93.8023614552235</v>
      </c>
      <c r="X18" s="0" t="n">
        <f aca="false">'Datos Regional BRUTOS'!X18*'Datos Regional BRUTOS'!X$25</f>
        <v>51.9115731377757</v>
      </c>
      <c r="Y18" s="0" t="n">
        <f aca="false">'Datos Regional BRUTOS'!Y18*'Datos Regional BRUTOS'!Y$25</f>
        <v>64.6762950689829</v>
      </c>
      <c r="Z18" s="0" t="n">
        <f aca="false">'Datos Regional BRUTOS'!Z18*'Datos Regional BRUTOS'!Z$25</f>
        <v>28.9772036213952</v>
      </c>
      <c r="AA18" s="0" t="n">
        <f aca="false">'Datos Regional BRUTOS'!AA18*'Datos Regional BRUTOS'!AA$25</f>
        <v>148.769118479741</v>
      </c>
      <c r="AB18" s="0" t="n">
        <f aca="false">'Datos Regional BRUTOS'!AB18*'Datos Regional BRUTOS'!AB$25</f>
        <v>71.096370344773</v>
      </c>
      <c r="AC18" s="0" t="n">
        <f aca="false">'Datos Regional BRUTOS'!AC18*'Datos Regional BRUTOS'!AC$25</f>
        <v>13.5659625891263</v>
      </c>
      <c r="AD18" s="0" t="n">
        <f aca="false">'Datos Regional BRUTOS'!AD18*'Datos Regional BRUTOS'!AD$25</f>
        <v>60.9384738024543</v>
      </c>
      <c r="AE18" s="0" t="n">
        <f aca="false">'Datos Regional BRUTOS'!AE18*'Datos Regional BRUTOS'!AE$25</f>
        <v>21.917416604974</v>
      </c>
      <c r="AF18" s="0" t="n">
        <f aca="false">'Datos Regional BRUTOS'!AF18*'Datos Regional BRUTOS'!AF$25</f>
        <v>72.1958352177416</v>
      </c>
      <c r="AG18" s="0" t="n">
        <f aca="false">'Datos Regional BRUTOS'!AG18*'Datos Regional BRUTOS'!AG$25</f>
        <v>59.1543114278805</v>
      </c>
      <c r="AH18" s="0" t="n">
        <f aca="false">'Datos Regional BRUTOS'!AH18*'Datos Regional BRUTOS'!AH$25</f>
        <v>147.037652441412</v>
      </c>
      <c r="AI18" s="0" t="n">
        <f aca="false">'Datos Regional BRUTOS'!AI18*'Datos Regional BRUTOS'!AI$25</f>
        <v>0</v>
      </c>
      <c r="AJ18" s="0" t="n">
        <f aca="false">'Datos Regional BRUTOS'!AJ18*'Datos Regional BRUTOS'!AJ$25</f>
        <v>42.805205841175</v>
      </c>
      <c r="AK18" s="0" t="n">
        <f aca="false">'Datos Regional BRUTOS'!AK18*'Datos Regional BRUTOS'!AK$25</f>
        <v>177.315257141842</v>
      </c>
      <c r="AL18" s="0" t="n">
        <f aca="false">'Datos Regional BRUTOS'!AL18*'Datos Regional BRUTOS'!AL$25</f>
        <v>90.2446439175721</v>
      </c>
      <c r="AM18" s="0" t="n">
        <f aca="false">'Datos Regional BRUTOS'!AM18*'Datos Regional BRUTOS'!AM$25</f>
        <v>18.0458901131561</v>
      </c>
      <c r="AN18" s="0" t="n">
        <f aca="false">'Datos Regional BRUTOS'!AN18*'Datos Regional BRUTOS'!AN$25</f>
        <v>69.5855024919862</v>
      </c>
      <c r="AO18" s="0" t="n">
        <f aca="false">'Datos Regional BRUTOS'!AO18*'Datos Regional BRUTOS'!AO$25</f>
        <v>135.31366174342</v>
      </c>
      <c r="AP18" s="0" t="n">
        <f aca="false">'Datos Regional BRUTOS'!AP18*'Datos Regional BRUTOS'!AP$25</f>
        <v>50.7537315427923</v>
      </c>
      <c r="AQ18" s="0" t="n">
        <f aca="false">'Datos Regional BRUTOS'!AQ18*'Datos Regional BRUTOS'!AQ$25</f>
        <v>80.2879510705441</v>
      </c>
      <c r="AR18" s="0" t="n">
        <f aca="false">'Datos Regional BRUTOS'!AR18*'Datos Regional BRUTOS'!AR$25</f>
        <v>80.0811733375935</v>
      </c>
      <c r="AS18" s="0" t="n">
        <f aca="false">'Datos Regional BRUTOS'!AS18*'Datos Regional BRUTOS'!AS$25</f>
        <v>48.9971632815677</v>
      </c>
      <c r="AT18" s="0" t="n">
        <f aca="false">'Datos Regional BRUTOS'!AT18*'Datos Regional BRUTOS'!AT$25</f>
        <v>56.4974336741863</v>
      </c>
      <c r="AU18" s="0" t="n">
        <f aca="false">'Datos Regional BRUTOS'!AU18*'Datos Regional BRUTOS'!AU$25</f>
        <v>34.7981673912029</v>
      </c>
      <c r="AV18" s="0" t="n">
        <f aca="false">'Datos Regional BRUTOS'!AV18*'Datos Regional BRUTOS'!AV$25</f>
        <v>119.196167425914</v>
      </c>
      <c r="AW18" s="0" t="n">
        <f aca="false">'Datos Regional BRUTOS'!AW18*'Datos Regional BRUTOS'!AW$25</f>
        <v>33.7952622918261</v>
      </c>
      <c r="AX18" s="0" t="n">
        <f aca="false">'Datos Regional BRUTOS'!AX18*'Datos Regional BRUTOS'!AX$25</f>
        <v>31.3395500992261</v>
      </c>
      <c r="AY18" s="0" t="n">
        <f aca="false">'Datos Regional BRUTOS'!AY18*'Datos Regional BRUTOS'!AY$25</f>
        <v>68.0214727890629</v>
      </c>
      <c r="AZ18" s="0" t="n">
        <f aca="false">'Datos Regional BRUTOS'!AZ18*'Datos Regional BRUTOS'!AZ$25</f>
        <v>90.6198679193337</v>
      </c>
      <c r="BA18" s="0" t="n">
        <f aca="false">'Datos Regional BRUTOS'!BA18*'Datos Regional BRUTOS'!BA$25</f>
        <v>44.5449373767776</v>
      </c>
      <c r="BB18" s="0" t="n">
        <f aca="false">'Datos Regional BRUTOS'!BB18*'Datos Regional BRUTOS'!BB$25</f>
        <v>19.2800035643611</v>
      </c>
      <c r="BC18" s="0" t="n">
        <f aca="false">'Datos Regional BRUTOS'!BC18*'Datos Regional BRUTOS'!BC$25</f>
        <v>0</v>
      </c>
      <c r="BD18" s="0" t="n">
        <f aca="false">'Datos Regional BRUTOS'!BD18*'Datos Regional BRUTOS'!BD$25</f>
        <v>37.4392669865836</v>
      </c>
      <c r="BE18" s="0" t="n">
        <f aca="false">'Datos Regional BRUTOS'!BE18*'Datos Regional BRUTOS'!BE$25</f>
        <v>42.6816164503446</v>
      </c>
      <c r="BF18" s="10" t="n">
        <f aca="false">AVERAGE(B18:BE18)</f>
        <v>68.0707604335987</v>
      </c>
      <c r="BG18" s="0" t="n">
        <v>68.0707604335986</v>
      </c>
    </row>
    <row r="19" customFormat="false" ht="15" hidden="false" customHeight="false" outlineLevel="0" collapsed="false">
      <c r="A19" s="4" t="s">
        <v>73</v>
      </c>
      <c r="B19" s="0" t="n">
        <f aca="false">'Datos Regional BRUTOS'!B19*'Datos Regional BRUTOS'!B$25</f>
        <v>169.94322866553</v>
      </c>
      <c r="C19" s="0" t="n">
        <f aca="false">'Datos Regional BRUTOS'!C19*'Datos Regional BRUTOS'!C$25</f>
        <v>176.169100000631</v>
      </c>
      <c r="D19" s="0" t="n">
        <f aca="false">'Datos Regional BRUTOS'!D19*'Datos Regional BRUTOS'!D$25</f>
        <v>40.1763089564679</v>
      </c>
      <c r="E19" s="0" t="n">
        <f aca="false">'Datos Regional BRUTOS'!E19*'Datos Regional BRUTOS'!E$25</f>
        <v>95.6939483026919</v>
      </c>
      <c r="H19" s="0" t="n">
        <f aca="false">'Datos Regional BRUTOS'!H19*'Datos Regional BRUTOS'!H$25</f>
        <v>116.855292347753</v>
      </c>
      <c r="I19" s="0" t="n">
        <f aca="false">'Datos Regional BRUTOS'!I19*'Datos Regional BRUTOS'!I$25</f>
        <v>27.8106793449276</v>
      </c>
      <c r="J19" s="0" t="n">
        <f aca="false">'Datos Regional BRUTOS'!J19*'Datos Regional BRUTOS'!J$25</f>
        <v>10.1573031361602</v>
      </c>
      <c r="K19" s="0" t="n">
        <f aca="false">'Datos Regional BRUTOS'!K19*'Datos Regional BRUTOS'!K$25</f>
        <v>32.0720561638769</v>
      </c>
      <c r="L19" s="0" t="n">
        <f aca="false">'Datos Regional BRUTOS'!L19*'Datos Regional BRUTOS'!L$25</f>
        <v>0</v>
      </c>
      <c r="M19" s="0" t="n">
        <f aca="false">'Datos Regional BRUTOS'!M19*'Datos Regional BRUTOS'!M$25</f>
        <v>31.4927962843369</v>
      </c>
      <c r="N19" s="0" t="n">
        <f aca="false">'Datos Regional BRUTOS'!N19*'Datos Regional BRUTOS'!N$25</f>
        <v>118.871060422326</v>
      </c>
      <c r="O19" s="0" t="n">
        <f aca="false">'Datos Regional BRUTOS'!O19*'Datos Regional BRUTOS'!O$25</f>
        <v>135.179486138684</v>
      </c>
      <c r="P19" s="0" t="n">
        <f aca="false">'Datos Regional BRUTOS'!P19*'Datos Regional BRUTOS'!P$25</f>
        <v>17.3521728835694</v>
      </c>
      <c r="Q19" s="0" t="n">
        <f aca="false">'Datos Regional BRUTOS'!Q19*'Datos Regional BRUTOS'!Q$25</f>
        <v>146.806784654975</v>
      </c>
      <c r="R19" s="0" t="n">
        <f aca="false">'Datos Regional BRUTOS'!R19*'Datos Regional BRUTOS'!R$25</f>
        <v>171.534603826091</v>
      </c>
      <c r="S19" s="0" t="n">
        <f aca="false">'Datos Regional BRUTOS'!S19*'Datos Regional BRUTOS'!S$25</f>
        <v>150.531039835627</v>
      </c>
      <c r="T19" s="0" t="n">
        <f aca="false">'Datos Regional BRUTOS'!T19*'Datos Regional BRUTOS'!T$25</f>
        <v>139.803181073538</v>
      </c>
      <c r="U19" s="0" t="n">
        <f aca="false">'Datos Regional BRUTOS'!U19*'Datos Regional BRUTOS'!U$25</f>
        <v>23.5891985844934</v>
      </c>
      <c r="V19" s="0" t="n">
        <f aca="false">'Datos Regional BRUTOS'!V19*'Datos Regional BRUTOS'!V$25</f>
        <v>179.214215718997</v>
      </c>
      <c r="W19" s="0" t="n">
        <f aca="false">'Datos Regional BRUTOS'!W19*'Datos Regional BRUTOS'!W$25</f>
        <v>134.316221850282</v>
      </c>
      <c r="X19" s="0" t="n">
        <f aca="false">'Datos Regional BRUTOS'!X19*'Datos Regional BRUTOS'!X$25</f>
        <v>182.477044969151</v>
      </c>
      <c r="Y19" s="0" t="n">
        <f aca="false">'Datos Regional BRUTOS'!Y19*'Datos Regional BRUTOS'!Y$25</f>
        <v>127.256599094063</v>
      </c>
      <c r="Z19" s="0" t="n">
        <f aca="false">'Datos Regional BRUTOS'!Z19*'Datos Regional BRUTOS'!Z$25</f>
        <v>131.249686991025</v>
      </c>
      <c r="AA19" s="0" t="n">
        <f aca="false">'Datos Regional BRUTOS'!AA19*'Datos Regional BRUTOS'!AA$25</f>
        <v>77.8829037637703</v>
      </c>
      <c r="AB19" s="0" t="n">
        <f aca="false">'Datos Regional BRUTOS'!AB19*'Datos Regional BRUTOS'!AB$25</f>
        <v>37.9474892488677</v>
      </c>
      <c r="AC19" s="0" t="n">
        <f aca="false">'Datos Regional BRUTOS'!AC19*'Datos Regional BRUTOS'!AC$25</f>
        <v>130.388693239824</v>
      </c>
      <c r="AD19" s="0" t="n">
        <f aca="false">'Datos Regional BRUTOS'!AD19*'Datos Regional BRUTOS'!AD$25</f>
        <v>135.368075018957</v>
      </c>
      <c r="AE19" s="0" t="n">
        <f aca="false">'Datos Regional BRUTOS'!AE19*'Datos Regional BRUTOS'!AE$25</f>
        <v>82.8926962830488</v>
      </c>
      <c r="AF19" s="0" t="n">
        <f aca="false">'Datos Regional BRUTOS'!AF19*'Datos Regional BRUTOS'!AF$25</f>
        <v>170.844332269112</v>
      </c>
      <c r="AG19" s="0" t="n">
        <f aca="false">'Datos Regional BRUTOS'!AG19*'Datos Regional BRUTOS'!AG$25</f>
        <v>82.3303008173253</v>
      </c>
      <c r="AH19" s="0" t="n">
        <f aca="false">'Datos Regional BRUTOS'!AH19*'Datos Regional BRUTOS'!AH$25</f>
        <v>0</v>
      </c>
      <c r="AI19" s="0" t="n">
        <f aca="false">'Datos Regional BRUTOS'!AI19*'Datos Regional BRUTOS'!AI$25</f>
        <v>162.598328168891</v>
      </c>
      <c r="AJ19" s="0" t="n">
        <f aca="false">'Datos Regional BRUTOS'!AJ19*'Datos Regional BRUTOS'!AJ$25</f>
        <v>151.67931635025</v>
      </c>
      <c r="AK19" s="0" t="n">
        <f aca="false">'Datos Regional BRUTOS'!AK19*'Datos Regional BRUTOS'!AK$25</f>
        <v>13.158715936735</v>
      </c>
      <c r="AL19" s="0" t="n">
        <f aca="false">'Datos Regional BRUTOS'!AL19*'Datos Regional BRUTOS'!AL$25</f>
        <v>101.381216996762</v>
      </c>
      <c r="AM19" s="0" t="n">
        <f aca="false">'Datos Regional BRUTOS'!AM19*'Datos Regional BRUTOS'!AM$25</f>
        <v>183.249502695451</v>
      </c>
      <c r="AN19" s="0" t="n">
        <f aca="false">'Datos Regional BRUTOS'!AN19*'Datos Regional BRUTOS'!AN$25</f>
        <v>183.961612161884</v>
      </c>
      <c r="AO19" s="0" t="n">
        <f aca="false">'Datos Regional BRUTOS'!AO19*'Datos Regional BRUTOS'!AO$25</f>
        <v>7.53500665023533</v>
      </c>
      <c r="AP19" s="0" t="n">
        <f aca="false">'Datos Regional BRUTOS'!AP19*'Datos Regional BRUTOS'!AP$25</f>
        <v>5.38697563687005</v>
      </c>
      <c r="AQ19" s="0" t="n">
        <f aca="false">'Datos Regional BRUTOS'!AQ19*'Datos Regional BRUTOS'!AQ$25</f>
        <v>148.166840810929</v>
      </c>
      <c r="AR19" s="0" t="n">
        <f aca="false">'Datos Regional BRUTOS'!AR19*'Datos Regional BRUTOS'!AR$25</f>
        <v>113.161706021895</v>
      </c>
      <c r="AS19" s="0" t="n">
        <f aca="false">'Datos Regional BRUTOS'!AS19*'Datos Regional BRUTOS'!AS$25</f>
        <v>117.597658725668</v>
      </c>
      <c r="AT19" s="0" t="n">
        <f aca="false">'Datos Regional BRUTOS'!AT19*'Datos Regional BRUTOS'!AT$25</f>
        <v>16.3977850124323</v>
      </c>
      <c r="AU19" s="0" t="n">
        <f aca="false">'Datos Regional BRUTOS'!AU19*'Datos Regional BRUTOS'!AU$25</f>
        <v>170.6689021218</v>
      </c>
      <c r="AV19" s="0" t="n">
        <f aca="false">'Datos Regional BRUTOS'!AV19*'Datos Regional BRUTOS'!AV$25</f>
        <v>167.280987387557</v>
      </c>
      <c r="AY19" s="0" t="n">
        <f aca="false">'Datos Regional BRUTOS'!AY19*'Datos Regional BRUTOS'!AY$25</f>
        <v>91.1322916782906</v>
      </c>
      <c r="AZ19" s="0" t="n">
        <f aca="false">'Datos Regional BRUTOS'!AZ19*'Datos Regional BRUTOS'!AZ$25</f>
        <v>33.7861688358479</v>
      </c>
      <c r="BA19" s="0" t="n">
        <f aca="false">'Datos Regional BRUTOS'!BA19*'Datos Regional BRUTOS'!BA$25</f>
        <v>115.991269730555</v>
      </c>
      <c r="BB19" s="0" t="n">
        <f aca="false">'Datos Regional BRUTOS'!BB19*'Datos Regional BRUTOS'!BB$25</f>
        <v>124.696595524944</v>
      </c>
      <c r="BC19" s="0" t="n">
        <f aca="false">'Datos Regional BRUTOS'!BC19*'Datos Regional BRUTOS'!BC$25</f>
        <v>107.789591950342</v>
      </c>
      <c r="BD19" s="0" t="n">
        <f aca="false">'Datos Regional BRUTOS'!BD19*'Datos Regional BRUTOS'!BD$25</f>
        <v>108.298237246856</v>
      </c>
      <c r="BE19" s="0" t="n">
        <f aca="false">'Datos Regional BRUTOS'!BE19*'Datos Regional BRUTOS'!BE$25</f>
        <v>166.633615145346</v>
      </c>
      <c r="BF19" s="10" t="n">
        <f aca="false">AVERAGE(B19:BE19)</f>
        <v>103.206900474532</v>
      </c>
      <c r="BG19" s="0" t="n">
        <v>103.206900474532</v>
      </c>
    </row>
    <row r="20" customFormat="false" ht="15" hidden="false" customHeight="false" outlineLevel="0" collapsed="false">
      <c r="A20" s="4" t="s">
        <v>74</v>
      </c>
      <c r="B20" s="0" t="n">
        <f aca="false">'Datos Regional BRUTOS'!B20*'Datos Regional BRUTOS'!B$25</f>
        <v>169.94322866553</v>
      </c>
      <c r="D20" s="0" t="n">
        <f aca="false">'Datos Regional BRUTOS'!D20*'Datos Regional BRUTOS'!D$25</f>
        <v>37.6811754440413</v>
      </c>
      <c r="E20" s="0" t="n">
        <f aca="false">'Datos Regional BRUTOS'!E20*'Datos Regional BRUTOS'!E$25</f>
        <v>154.493844241391</v>
      </c>
      <c r="H20" s="0" t="n">
        <f aca="false">'Datos Regional BRUTOS'!H20*'Datos Regional BRUTOS'!H$25</f>
        <v>159.627814394628</v>
      </c>
      <c r="I20" s="0" t="n">
        <f aca="false">'Datos Regional BRUTOS'!I20*'Datos Regional BRUTOS'!I$25</f>
        <v>167.63735039327</v>
      </c>
      <c r="J20" s="0" t="n">
        <f aca="false">'Datos Regional BRUTOS'!J20*'Datos Regional BRUTOS'!J$25</f>
        <v>0</v>
      </c>
      <c r="K20" s="0" t="n">
        <f aca="false">'Datos Regional BRUTOS'!K20*'Datos Regional BRUTOS'!K$25</f>
        <v>0</v>
      </c>
      <c r="L20" s="0" t="n">
        <f aca="false">'Datos Regional BRUTOS'!L20*'Datos Regional BRUTOS'!L$25</f>
        <v>10.7184387818641</v>
      </c>
      <c r="M20" s="0" t="n">
        <f aca="false">'Datos Regional BRUTOS'!M20*'Datos Regional BRUTOS'!M$25</f>
        <v>62.5494042544862</v>
      </c>
      <c r="N20" s="0" t="n">
        <f aca="false">'Datos Regional BRUTOS'!N20*'Datos Regional BRUTOS'!N$25</f>
        <v>176.169100000631</v>
      </c>
      <c r="O20" s="0" t="n">
        <f aca="false">'Datos Regional BRUTOS'!O20*'Datos Regional BRUTOS'!O$25</f>
        <v>137.243799072948</v>
      </c>
      <c r="P20" s="0" t="n">
        <f aca="false">'Datos Regional BRUTOS'!P20*'Datos Regional BRUTOS'!P$25</f>
        <v>19.9442399622074</v>
      </c>
      <c r="Q20" s="0" t="n">
        <f aca="false">'Datos Regional BRUTOS'!Q20*'Datos Regional BRUTOS'!Q$25</f>
        <v>144.358661356326</v>
      </c>
      <c r="R20" s="0" t="n">
        <f aca="false">'Datos Regional BRUTOS'!R20*'Datos Regional BRUTOS'!R$25</f>
        <v>194.405884336236</v>
      </c>
      <c r="S20" s="0" t="n">
        <f aca="false">'Datos Regional BRUTOS'!S20*'Datos Regional BRUTOS'!S$25</f>
        <v>191.150526775399</v>
      </c>
      <c r="T20" s="0" t="n">
        <f aca="false">'Datos Regional BRUTOS'!T20*'Datos Regional BRUTOS'!T$25</f>
        <v>156.012959601536</v>
      </c>
      <c r="U20" s="0" t="n">
        <f aca="false">'Datos Regional BRUTOS'!U20*'Datos Regional BRUTOS'!U$25</f>
        <v>56.8716598057184</v>
      </c>
      <c r="V20" s="0" t="n">
        <f aca="false">'Datos Regional BRUTOS'!V20*'Datos Regional BRUTOS'!V$25</f>
        <v>165.428506817536</v>
      </c>
      <c r="W20" s="0" t="n">
        <f aca="false">'Datos Regional BRUTOS'!W20*'Datos Regional BRUTOS'!W$25</f>
        <v>124.297779376881</v>
      </c>
      <c r="X20" s="0" t="n">
        <f aca="false">'Datos Regional BRUTOS'!X20*'Datos Regional BRUTOS'!X$25</f>
        <v>185.623200916895</v>
      </c>
      <c r="Y20" s="0" t="n">
        <f aca="false">'Datos Regional BRUTOS'!Y20*'Datos Regional BRUTOS'!Y$25</f>
        <v>82.2976808512506</v>
      </c>
      <c r="Z20" s="0" t="n">
        <f aca="false">'Datos Regional BRUTOS'!Z20*'Datos Regional BRUTOS'!Z$25</f>
        <v>178.976845896853</v>
      </c>
      <c r="AA20" s="0" t="n">
        <f aca="false">'Datos Regional BRUTOS'!AA20*'Datos Regional BRUTOS'!AA$25</f>
        <v>40.9669174970092</v>
      </c>
      <c r="AB20" s="0" t="n">
        <f aca="false">'Datos Regional BRUTOS'!AB20*'Datos Regional BRUTOS'!AB$25</f>
        <v>23.5756606168534</v>
      </c>
      <c r="AC20" s="0" t="n">
        <f aca="false">'Datos Regional BRUTOS'!AC20*'Datos Regional BRUTOS'!AC$25</f>
        <v>173.517339987532</v>
      </c>
      <c r="AD20" s="0" t="n">
        <f aca="false">'Datos Regional BRUTOS'!AD20*'Datos Regional BRUTOS'!AD$25</f>
        <v>173.402046073919</v>
      </c>
      <c r="AE20" s="0" t="n">
        <f aca="false">'Datos Regional BRUTOS'!AE20*'Datos Regional BRUTOS'!AE$25</f>
        <v>95.8872237814012</v>
      </c>
      <c r="AF20" s="0" t="n">
        <f aca="false">'Datos Regional BRUTOS'!AF20*'Datos Regional BRUTOS'!AF$25</f>
        <v>136.515574167305</v>
      </c>
      <c r="AG20" s="0" t="n">
        <f aca="false">'Datos Regional BRUTOS'!AG20*'Datos Regional BRUTOS'!AG$25</f>
        <v>36.5934756104702</v>
      </c>
      <c r="AH20" s="0" t="n">
        <f aca="false">'Datos Regional BRUTOS'!AH20*'Datos Regional BRUTOS'!AH$25</f>
        <v>28.0405366002486</v>
      </c>
      <c r="AI20" s="0" t="n">
        <f aca="false">'Datos Regional BRUTOS'!AI20*'Datos Regional BRUTOS'!AI$25</f>
        <v>106.11524246791</v>
      </c>
      <c r="AJ20" s="0" t="n">
        <f aca="false">'Datos Regional BRUTOS'!AJ20*'Datos Regional BRUTOS'!AJ$25</f>
        <v>20.4062325741668</v>
      </c>
      <c r="AK20" s="0" t="n">
        <f aca="false">'Datos Regional BRUTOS'!AK20*'Datos Regional BRUTOS'!AK$25</f>
        <v>0</v>
      </c>
      <c r="AL20" s="0" t="n">
        <f aca="false">'Datos Regional BRUTOS'!AL20*'Datos Regional BRUTOS'!AL$25</f>
        <v>159.240194373702</v>
      </c>
      <c r="AM20" s="0" t="n">
        <f aca="false">'Datos Regional BRUTOS'!AM20*'Datos Regional BRUTOS'!AM$25</f>
        <v>167.343073781278</v>
      </c>
      <c r="AN20" s="0" t="n">
        <f aca="false">'Datos Regional BRUTOS'!AN20*'Datos Regional BRUTOS'!AN$25</f>
        <v>118.423454975373</v>
      </c>
      <c r="AO20" s="0" t="n">
        <f aca="false">'Datos Regional BRUTOS'!AO20*'Datos Regional BRUTOS'!AO$25</f>
        <v>0</v>
      </c>
      <c r="AP20" s="0" t="n">
        <f aca="false">'Datos Regional BRUTOS'!AP20*'Datos Regional BRUTOS'!AP$25</f>
        <v>22.052588689056</v>
      </c>
      <c r="AQ20" s="0" t="n">
        <f aca="false">'Datos Regional BRUTOS'!AQ20*'Datos Regional BRUTOS'!AQ$25</f>
        <v>185.148461272606</v>
      </c>
      <c r="AR20" s="0" t="n">
        <f aca="false">'Datos Regional BRUTOS'!AR20*'Datos Regional BRUTOS'!AR$25</f>
        <v>184.198981984029</v>
      </c>
      <c r="AS20" s="0" t="n">
        <f aca="false">'Datos Regional BRUTOS'!AS20*'Datos Regional BRUTOS'!AS$25</f>
        <v>85.1232927345227</v>
      </c>
      <c r="AT20" s="0" t="n">
        <f aca="false">'Datos Regional BRUTOS'!AT20*'Datos Regional BRUTOS'!AT$25</f>
        <v>100.729402375685</v>
      </c>
      <c r="AU20" s="0" t="n">
        <f aca="false">'Datos Regional BRUTOS'!AU20*'Datos Regional BRUTOS'!AU$25</f>
        <v>170.6689021218</v>
      </c>
      <c r="AV20" s="0" t="n">
        <f aca="false">'Datos Regional BRUTOS'!AV20*'Datos Regional BRUTOS'!AV$25</f>
        <v>163.742803063456</v>
      </c>
      <c r="AY20" s="0" t="n">
        <f aca="false">'Datos Regional BRUTOS'!AY20*'Datos Regional BRUTOS'!AY$25</f>
        <v>136.122793647079</v>
      </c>
      <c r="AZ20" s="0" t="n">
        <f aca="false">'Datos Regional BRUTOS'!AZ20*'Datos Regional BRUTOS'!AZ$25</f>
        <v>0</v>
      </c>
      <c r="BA20" s="0" t="n">
        <f aca="false">'Datos Regional BRUTOS'!BA20*'Datos Regional BRUTOS'!BA$25</f>
        <v>161.648848880314</v>
      </c>
      <c r="BB20" s="0" t="n">
        <f aca="false">'Datos Regional BRUTOS'!BB20*'Datos Regional BRUTOS'!BB$25</f>
        <v>21.1339342891039</v>
      </c>
      <c r="BC20" s="0" t="n">
        <f aca="false">'Datos Regional BRUTOS'!BC20*'Datos Regional BRUTOS'!BC$25</f>
        <v>174.021750859589</v>
      </c>
      <c r="BD20" s="0" t="n">
        <f aca="false">'Datos Regional BRUTOS'!BD20*'Datos Regional BRUTOS'!BD$25</f>
        <v>44.1481412325865</v>
      </c>
      <c r="BE20" s="0" t="n">
        <f aca="false">'Datos Regional BRUTOS'!BE20*'Datos Regional BRUTOS'!BE$25</f>
        <v>162.264510490535</v>
      </c>
      <c r="BF20" s="10" t="n">
        <f aca="false">AVERAGE(B20:BE20)</f>
        <v>107.185558531238</v>
      </c>
      <c r="BG20" s="0" t="n">
        <v>107.185558531238</v>
      </c>
    </row>
    <row r="21" customFormat="false" ht="15" hidden="false" customHeight="false" outlineLevel="0" collapsed="false">
      <c r="BF21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23.57"/>
    <col collapsed="false" customWidth="true" hidden="false" outlineLevel="0" max="2" min="2" style="0" width="16.57"/>
    <col collapsed="false" customWidth="true" hidden="false" outlineLevel="0" max="9" min="9" style="0" width="22.86"/>
    <col collapsed="false" customWidth="true" hidden="false" outlineLevel="0" max="10" min="10" style="0" width="17.29"/>
    <col collapsed="false" customWidth="true" hidden="false" outlineLevel="0" max="11" min="11" style="0" width="17.71"/>
    <col collapsed="false" customWidth="true" hidden="false" outlineLevel="0" max="12" min="12" style="0" width="21.28"/>
    <col collapsed="false" customWidth="true" hidden="false" outlineLevel="0" max="13" min="13" style="0" width="18.43"/>
    <col collapsed="false" customWidth="true" hidden="false" outlineLevel="0" max="14" min="14" style="0" width="19.14"/>
  </cols>
  <sheetData>
    <row r="1" customFormat="false" ht="15" hidden="false" customHeight="false" outlineLevel="0" collapsed="false">
      <c r="C1" s="11" t="s">
        <v>79</v>
      </c>
      <c r="D1" s="11"/>
      <c r="E1" s="11"/>
      <c r="F1" s="11"/>
      <c r="G1" s="11"/>
      <c r="H1" s="11"/>
      <c r="I1" s="11" t="s">
        <v>80</v>
      </c>
      <c r="J1" s="11"/>
      <c r="K1" s="11"/>
      <c r="L1" s="11" t="s">
        <v>81</v>
      </c>
      <c r="M1" s="11"/>
      <c r="N1" s="11"/>
    </row>
    <row r="2" s="13" customFormat="true" ht="87" hidden="false" customHeight="true" outlineLevel="0" collapsed="false">
      <c r="A2" s="1" t="s">
        <v>76</v>
      </c>
      <c r="B2" s="12" t="s">
        <v>82</v>
      </c>
      <c r="C2" s="13" t="s">
        <v>83</v>
      </c>
      <c r="D2" s="13" t="s">
        <v>84</v>
      </c>
      <c r="E2" s="13" t="s">
        <v>85</v>
      </c>
      <c r="F2" s="13" t="s">
        <v>86</v>
      </c>
      <c r="G2" s="13" t="s">
        <v>87</v>
      </c>
      <c r="H2" s="13" t="s">
        <v>88</v>
      </c>
      <c r="I2" s="14" t="s">
        <v>89</v>
      </c>
      <c r="J2" s="14" t="s">
        <v>90</v>
      </c>
      <c r="K2" s="14" t="s">
        <v>91</v>
      </c>
      <c r="L2" s="15" t="s">
        <v>92</v>
      </c>
      <c r="M2" s="15" t="s">
        <v>93</v>
      </c>
      <c r="N2" s="15" t="s">
        <v>94</v>
      </c>
    </row>
    <row r="3" customFormat="false" ht="15" hidden="false" customHeight="false" outlineLevel="0" collapsed="false">
      <c r="A3" s="4" t="s">
        <v>56</v>
      </c>
      <c r="B3" s="16" t="n">
        <v>76.5326724919106</v>
      </c>
      <c r="C3" s="0" t="n">
        <v>17.4239580056252</v>
      </c>
      <c r="D3" s="0" t="n">
        <v>19.0073236477008</v>
      </c>
      <c r="E3" s="0" t="n">
        <v>18.4313737644315</v>
      </c>
      <c r="F3" s="0" t="n">
        <v>18.190814895132</v>
      </c>
      <c r="G3" s="0" t="n">
        <v>19.3558884367028</v>
      </c>
      <c r="H3" s="0" t="n">
        <v>18.9400572390887</v>
      </c>
      <c r="I3" s="10" t="n">
        <f aca="false">$B3*C3</f>
        <v>1333.50207155732</v>
      </c>
      <c r="J3" s="10" t="n">
        <f aca="false">$B3*D3</f>
        <v>1454.68127567724</v>
      </c>
      <c r="K3" s="10" t="n">
        <f aca="false">$B3*E3</f>
        <v>1410.60229188923</v>
      </c>
      <c r="L3" s="17" t="n">
        <f aca="false">$B3*F3</f>
        <v>1392.1916787301</v>
      </c>
      <c r="M3" s="17" t="n">
        <f aca="false">$B3*G3</f>
        <v>1481.35787051614</v>
      </c>
      <c r="N3" s="17" t="n">
        <f aca="false">$B3*H3</f>
        <v>1449.53319765722</v>
      </c>
    </row>
    <row r="4" customFormat="false" ht="15" hidden="false" customHeight="false" outlineLevel="0" collapsed="false">
      <c r="A4" s="4" t="s">
        <v>57</v>
      </c>
      <c r="B4" s="16" t="n">
        <v>73.4456818301304</v>
      </c>
      <c r="C4" s="0" t="n">
        <v>11.0589637493242</v>
      </c>
      <c r="D4" s="0" t="n">
        <v>11.2430432159901</v>
      </c>
      <c r="E4" s="0" t="n">
        <v>10.9385911349559</v>
      </c>
      <c r="F4" s="0" t="n">
        <v>11.2378528165789</v>
      </c>
      <c r="G4" s="0" t="n">
        <v>11.2654455442076</v>
      </c>
      <c r="H4" s="0" t="n">
        <v>11.9558961639079</v>
      </c>
      <c r="I4" s="10" t="n">
        <f aca="false">$B4*C4</f>
        <v>812.233132903813</v>
      </c>
      <c r="J4" s="10" t="n">
        <f aca="false">$B4*D4</f>
        <v>825.752974844016</v>
      </c>
      <c r="K4" s="10" t="n">
        <f aca="false">$B4*E4</f>
        <v>803.392284167853</v>
      </c>
      <c r="L4" s="17" t="n">
        <f aca="false">$B4*F4</f>
        <v>825.371762420291</v>
      </c>
      <c r="M4" s="17" t="n">
        <f aca="false">$B4*G4</f>
        <v>827.39832911453</v>
      </c>
      <c r="N4" s="17" t="n">
        <f aca="false">$B4*H4</f>
        <v>878.108945648456</v>
      </c>
    </row>
    <row r="5" customFormat="false" ht="15" hidden="false" customHeight="false" outlineLevel="0" collapsed="false">
      <c r="A5" s="4" t="s">
        <v>58</v>
      </c>
      <c r="B5" s="16" t="n">
        <v>90.013784828052</v>
      </c>
      <c r="C5" s="0" t="n">
        <v>8.75629719446088</v>
      </c>
      <c r="D5" s="0" t="n">
        <v>8.63350491142229</v>
      </c>
      <c r="E5" s="0" t="n">
        <v>8.04184975904816</v>
      </c>
      <c r="F5" s="0" t="n">
        <v>8.50610633346496</v>
      </c>
      <c r="G5" s="0" t="n">
        <v>8.30858963905834</v>
      </c>
      <c r="H5" s="0" t="n">
        <v>7.95378338862807</v>
      </c>
      <c r="I5" s="10" t="n">
        <f aca="false">$B5*C5</f>
        <v>788.187451552677</v>
      </c>
      <c r="J5" s="10" t="n">
        <f aca="false">$B5*D5</f>
        <v>777.134453408696</v>
      </c>
      <c r="K5" s="10" t="n">
        <f aca="false">$B5*E5</f>
        <v>723.877333830483</v>
      </c>
      <c r="L5" s="17" t="n">
        <f aca="false">$B5*F5</f>
        <v>765.666825225045</v>
      </c>
      <c r="M5" s="17" t="n">
        <f aca="false">$B5*G5</f>
        <v>747.88759999478</v>
      </c>
      <c r="N5" s="17" t="n">
        <f aca="false">$B5*H5</f>
        <v>715.950146512901</v>
      </c>
    </row>
    <row r="6" customFormat="false" ht="15" hidden="false" customHeight="false" outlineLevel="0" collapsed="false">
      <c r="A6" s="4" t="s">
        <v>59</v>
      </c>
      <c r="B6" s="16" t="n">
        <v>50.0728566597934</v>
      </c>
      <c r="C6" s="0" t="n">
        <v>10.0473904118136</v>
      </c>
      <c r="D6" s="0" t="n">
        <v>10.3931156280996</v>
      </c>
      <c r="E6" s="0" t="n">
        <v>10.1538728832955</v>
      </c>
      <c r="F6" s="0" t="n">
        <v>9.92003568164054</v>
      </c>
      <c r="G6" s="0" t="n">
        <v>10.3704028243476</v>
      </c>
      <c r="H6" s="0" t="n">
        <v>10.9691353664709</v>
      </c>
      <c r="I6" s="10" t="n">
        <f aca="false">$B6*C6</f>
        <v>503.101539895726</v>
      </c>
      <c r="J6" s="10" t="n">
        <f aca="false">$B6*D6</f>
        <v>520.412989094491</v>
      </c>
      <c r="K6" s="10" t="n">
        <f aca="false">$B6*E6</f>
        <v>508.433421427017</v>
      </c>
      <c r="L6" s="17" t="n">
        <f aca="false">$B6*F6</f>
        <v>496.724524746823</v>
      </c>
      <c r="M6" s="17" t="n">
        <f aca="false">$B6*G6</f>
        <v>519.275694127873</v>
      </c>
      <c r="N6" s="17" t="n">
        <f aca="false">$B6*H6</f>
        <v>549.255942887167</v>
      </c>
    </row>
    <row r="7" customFormat="false" ht="15" hidden="false" customHeight="false" outlineLevel="0" collapsed="false">
      <c r="A7" s="4" t="s">
        <v>60</v>
      </c>
      <c r="B7" s="16" t="n">
        <v>63.7404800868019</v>
      </c>
      <c r="C7" s="0" t="n">
        <v>2.26899632043813</v>
      </c>
      <c r="D7" s="0" t="n">
        <v>2.19312642947342</v>
      </c>
      <c r="E7" s="0" t="n">
        <v>2.3417659100479</v>
      </c>
      <c r="F7" s="0" t="n">
        <v>2.383195989156</v>
      </c>
      <c r="G7" s="0" t="n">
        <v>2.27583977798391</v>
      </c>
      <c r="H7" s="0" t="n">
        <v>2.06709339831734</v>
      </c>
      <c r="I7" s="10" t="n">
        <f aca="false">$B7*C7</f>
        <v>144.626914779913</v>
      </c>
      <c r="J7" s="10" t="n">
        <f aca="false">$B7*D7</f>
        <v>139.790931505689</v>
      </c>
      <c r="K7" s="10" t="n">
        <f aca="false">$B7*E7</f>
        <v>149.26528335736</v>
      </c>
      <c r="L7" s="17" t="n">
        <f aca="false">$B7*F7</f>
        <v>151.906056489744</v>
      </c>
      <c r="M7" s="17" t="n">
        <f aca="false">$B7*G7</f>
        <v>145.063120049335</v>
      </c>
      <c r="N7" s="17" t="n">
        <f aca="false">$B7*H7</f>
        <v>131.757525593006</v>
      </c>
    </row>
    <row r="8" customFormat="false" ht="15" hidden="false" customHeight="false" outlineLevel="0" collapsed="false">
      <c r="A8" s="4" t="s">
        <v>61</v>
      </c>
      <c r="B8" s="16" t="n">
        <v>80.1591725580675</v>
      </c>
      <c r="C8" s="0" t="n">
        <v>8.00867990918095</v>
      </c>
      <c r="D8" s="0" t="n">
        <v>7.66247751613177</v>
      </c>
      <c r="E8" s="0" t="n">
        <v>7.16172057928156</v>
      </c>
      <c r="F8" s="0" t="n">
        <v>7.76830659336234</v>
      </c>
      <c r="G8" s="0" t="n">
        <v>7.31736220262753</v>
      </c>
      <c r="H8" s="0" t="n">
        <v>7.19819744315454</v>
      </c>
      <c r="I8" s="10" t="n">
        <f aca="false">$B8*C8</f>
        <v>641.969154802364</v>
      </c>
      <c r="J8" s="10" t="n">
        <f aca="false">$B8*D8</f>
        <v>614.217857437919</v>
      </c>
      <c r="K8" s="10" t="n">
        <f aca="false">$B8*E8</f>
        <v>574.077595727294</v>
      </c>
      <c r="L8" s="17" t="n">
        <f aca="false">$B8*F8</f>
        <v>622.701028701306</v>
      </c>
      <c r="M8" s="17" t="n">
        <f aca="false">$B8*G8</f>
        <v>586.553699470302</v>
      </c>
      <c r="N8" s="17" t="n">
        <f aca="false">$B8*H8</f>
        <v>577.001550952865</v>
      </c>
    </row>
    <row r="9" customFormat="false" ht="15" hidden="false" customHeight="false" outlineLevel="0" collapsed="false">
      <c r="A9" s="4" t="s">
        <v>62</v>
      </c>
      <c r="B9" s="16" t="n">
        <v>73.9567448131704</v>
      </c>
      <c r="C9" s="0" t="n">
        <v>9.96140735246276</v>
      </c>
      <c r="D9" s="0" t="n">
        <v>10.4379681533475</v>
      </c>
      <c r="E9" s="0" t="n">
        <v>10.1478043998798</v>
      </c>
      <c r="F9" s="0" t="n">
        <v>10.271704851112</v>
      </c>
      <c r="G9" s="0" t="n">
        <v>10.6798593882044</v>
      </c>
      <c r="H9" s="0" t="n">
        <v>11.249281468708</v>
      </c>
      <c r="I9" s="10" t="n">
        <f aca="false">$B9*C9</f>
        <v>736.713261546127</v>
      </c>
      <c r="J9" s="10" t="n">
        <f aca="false">$B9*D9</f>
        <v>771.958147085119</v>
      </c>
      <c r="K9" s="10" t="n">
        <f aca="false">$B9*E9</f>
        <v>750.498580415874</v>
      </c>
      <c r="L9" s="17" t="n">
        <f aca="false">$B9*F9</f>
        <v>759.661854469892</v>
      </c>
      <c r="M9" s="17" t="n">
        <f aca="false">$B9*G9</f>
        <v>789.847635413971</v>
      </c>
      <c r="N9" s="17" t="n">
        <f aca="false">$B9*H9</f>
        <v>831.960238912763</v>
      </c>
    </row>
    <row r="10" customFormat="false" ht="15" hidden="false" customHeight="false" outlineLevel="0" collapsed="false">
      <c r="A10" s="4" t="s">
        <v>63</v>
      </c>
      <c r="B10" s="16" t="n">
        <v>76.3020317994321</v>
      </c>
      <c r="C10" s="0" t="n">
        <v>15.6951630773959</v>
      </c>
      <c r="D10" s="0" t="n">
        <v>16.4782761329614</v>
      </c>
      <c r="E10" s="0" t="n">
        <v>16.0968125855756</v>
      </c>
      <c r="F10" s="0" t="n">
        <v>16.1804782866078</v>
      </c>
      <c r="G10" s="0" t="n">
        <v>16.8059225169685</v>
      </c>
      <c r="H10" s="0" t="n">
        <v>17.1387044033999</v>
      </c>
      <c r="I10" s="10" t="n">
        <f aca="false">$B10*C10</f>
        <v>1197.57283222874</v>
      </c>
      <c r="J10" s="10" t="n">
        <f aca="false">$B10*D10</f>
        <v>1257.32594949705</v>
      </c>
      <c r="K10" s="10" t="n">
        <f aca="false">$B10*E10</f>
        <v>1228.21950577409</v>
      </c>
      <c r="L10" s="17" t="n">
        <f aca="false">$B10*F10</f>
        <v>1234.60336875477</v>
      </c>
      <c r="M10" s="17" t="n">
        <f aca="false">$B10*G10</f>
        <v>1282.32603430852</v>
      </c>
      <c r="N10" s="17" t="n">
        <f aca="false">$B10*H10</f>
        <v>1307.71796838929</v>
      </c>
    </row>
    <row r="11" customFormat="false" ht="15" hidden="false" customHeight="false" outlineLevel="0" collapsed="false">
      <c r="A11" s="4" t="s">
        <v>64</v>
      </c>
      <c r="B11" s="16" t="n">
        <v>62.3144476849021</v>
      </c>
      <c r="C11" s="0" t="n">
        <v>9.48570857313596</v>
      </c>
      <c r="D11" s="0" t="n">
        <v>9.79233704964453</v>
      </c>
      <c r="E11" s="0" t="n">
        <v>9.67794633016591</v>
      </c>
      <c r="F11" s="0" t="n">
        <v>9.39989117464016</v>
      </c>
      <c r="G11" s="0" t="n">
        <v>9.74822627357212</v>
      </c>
      <c r="H11" s="0" t="n">
        <v>10.3571194870891</v>
      </c>
      <c r="I11" s="10" t="n">
        <f aca="false">$B11*C11</f>
        <v>591.096690634908</v>
      </c>
      <c r="J11" s="10" t="n">
        <f aca="false">$B11*D11</f>
        <v>610.204074793003</v>
      </c>
      <c r="K11" s="10" t="n">
        <f aca="false">$B11*E11</f>
        <v>603.075880288414</v>
      </c>
      <c r="L11" s="17" t="n">
        <f aca="false">$B11*F11</f>
        <v>585.749026845887</v>
      </c>
      <c r="M11" s="17" t="n">
        <f aca="false">$B11*G11</f>
        <v>607.455336145099</v>
      </c>
      <c r="N11" s="17" t="n">
        <f aca="false">$B11*H11</f>
        <v>645.398180444494</v>
      </c>
    </row>
    <row r="12" customFormat="false" ht="15" hidden="false" customHeight="false" outlineLevel="0" collapsed="false">
      <c r="A12" s="4" t="s">
        <v>65</v>
      </c>
      <c r="B12" s="16" t="n">
        <v>73.8882336630452</v>
      </c>
      <c r="C12" s="0" t="n">
        <v>13.0993116820535</v>
      </c>
      <c r="D12" s="0" t="n">
        <v>13.5413813759855</v>
      </c>
      <c r="E12" s="0" t="n">
        <v>13.0176104836426</v>
      </c>
      <c r="F12" s="0" t="n">
        <v>13.1509248070925</v>
      </c>
      <c r="G12" s="0" t="n">
        <v>13.2540591832608</v>
      </c>
      <c r="H12" s="0" t="n">
        <v>14.0946377137234</v>
      </c>
      <c r="I12" s="10" t="n">
        <f aca="false">$B12*C12</f>
        <v>967.885002388624</v>
      </c>
      <c r="J12" s="10" t="n">
        <f aca="false">$B12*D12</f>
        <v>1000.54875122922</v>
      </c>
      <c r="K12" s="10" t="n">
        <f aca="false">$B12*E12</f>
        <v>961.848245149888</v>
      </c>
      <c r="L12" s="17" t="n">
        <f aca="false">$B12*F12</f>
        <v>971.698605031586</v>
      </c>
      <c r="M12" s="17" t="n">
        <f aca="false">$B12*G12</f>
        <v>979.319021916604</v>
      </c>
      <c r="N12" s="17" t="n">
        <f aca="false">$B12*H12</f>
        <v>1041.42788478756</v>
      </c>
    </row>
    <row r="13" customFormat="false" ht="15" hidden="false" customHeight="false" outlineLevel="0" collapsed="false">
      <c r="A13" s="4" t="s">
        <v>66</v>
      </c>
      <c r="B13" s="16" t="n">
        <v>74.4648828935178</v>
      </c>
      <c r="C13" s="0" t="n">
        <v>16.7070879782722</v>
      </c>
      <c r="D13" s="0" t="n">
        <v>17.7915015914991</v>
      </c>
      <c r="E13" s="0" t="n">
        <v>17.3749422613865</v>
      </c>
      <c r="F13" s="0" t="n">
        <v>17.7249096522124</v>
      </c>
      <c r="G13" s="0" t="n">
        <v>18.5559777244234</v>
      </c>
      <c r="H13" s="0" t="n">
        <v>18.1371019992456</v>
      </c>
      <c r="I13" s="10" t="n">
        <f aca="false">$B13*C13</f>
        <v>1244.09134979374</v>
      </c>
      <c r="J13" s="10" t="n">
        <f aca="false">$B13*D13</f>
        <v>1324.84208251082</v>
      </c>
      <c r="K13" s="10" t="n">
        <f aca="false">$B13*E13</f>
        <v>1293.82304077578</v>
      </c>
      <c r="L13" s="17" t="n">
        <f aca="false">$B13*F13</f>
        <v>1319.88332155018</v>
      </c>
      <c r="M13" s="17" t="n">
        <f aca="false">$B13*G13</f>
        <v>1381.76870822392</v>
      </c>
      <c r="N13" s="17" t="n">
        <f aca="false">$B13*H13</f>
        <v>1350.57717640161</v>
      </c>
    </row>
    <row r="14" customFormat="false" ht="15" hidden="false" customHeight="false" outlineLevel="0" collapsed="false">
      <c r="A14" s="4" t="s">
        <v>67</v>
      </c>
      <c r="B14" s="16" t="n">
        <v>75.1953909407775</v>
      </c>
      <c r="C14" s="0" t="n">
        <v>9.6399615757952</v>
      </c>
      <c r="D14" s="0" t="n">
        <v>9.96401265835056</v>
      </c>
      <c r="E14" s="0" t="n">
        <v>9.8630602026507</v>
      </c>
      <c r="F14" s="0" t="n">
        <v>9.87969802217087</v>
      </c>
      <c r="G14" s="0" t="n">
        <v>10.0683981095518</v>
      </c>
      <c r="H14" s="0" t="n">
        <v>10.6125388031807</v>
      </c>
      <c r="I14" s="10" t="n">
        <f aca="false">$B14*C14</f>
        <v>724.880679345994</v>
      </c>
      <c r="J14" s="10" t="n">
        <f aca="false">$B14*D14</f>
        <v>749.247827183526</v>
      </c>
      <c r="K14" s="10" t="n">
        <f aca="false">$B14*E14</f>
        <v>741.656667810744</v>
      </c>
      <c r="L14" s="17" t="n">
        <f aca="false">$B14*F14</f>
        <v>742.907755153965</v>
      </c>
      <c r="M14" s="17" t="n">
        <f aca="false">$B14*G14</f>
        <v>757.097131995131</v>
      </c>
      <c r="N14" s="17" t="n">
        <f aca="false">$B14*H14</f>
        <v>798.014004179346</v>
      </c>
    </row>
    <row r="15" customFormat="false" ht="15" hidden="false" customHeight="false" outlineLevel="0" collapsed="false">
      <c r="A15" s="4" t="s">
        <v>68</v>
      </c>
      <c r="B15" s="16" t="n">
        <v>68.0042651172107</v>
      </c>
      <c r="C15" s="0" t="n">
        <v>13.9089842177802</v>
      </c>
      <c r="D15" s="0" t="n">
        <v>14.7694786122573</v>
      </c>
      <c r="E15" s="0" t="n">
        <v>14.2043544906419</v>
      </c>
      <c r="F15" s="0" t="n">
        <v>14.4044050707034</v>
      </c>
      <c r="G15" s="0" t="n">
        <v>14.8577138529929</v>
      </c>
      <c r="H15" s="0" t="n">
        <v>15.3038569312694</v>
      </c>
      <c r="I15" s="10" t="n">
        <f aca="false">$B15*C15</f>
        <v>945.870250257021</v>
      </c>
      <c r="J15" s="10" t="n">
        <f aca="false">$B15*D15</f>
        <v>1004.38753919092</v>
      </c>
      <c r="K15" s="10" t="n">
        <f aca="false">$B15*E15</f>
        <v>965.956688600457</v>
      </c>
      <c r="L15" s="17" t="n">
        <f aca="false">$B15*F15</f>
        <v>979.560981283809</v>
      </c>
      <c r="M15" s="17" t="n">
        <f aca="false">$B15*G15</f>
        <v>1010.38791189458</v>
      </c>
      <c r="N15" s="17" t="n">
        <f aca="false">$B15*H15</f>
        <v>1040.72754406991</v>
      </c>
    </row>
    <row r="16" customFormat="false" ht="15" hidden="false" customHeight="false" outlineLevel="0" collapsed="false">
      <c r="A16" s="4" t="s">
        <v>69</v>
      </c>
      <c r="B16" s="16" t="n">
        <v>68.0426996545738</v>
      </c>
      <c r="C16" s="0" t="n">
        <v>18.0101939975752</v>
      </c>
      <c r="D16" s="0" t="n">
        <v>18.0381807130292</v>
      </c>
      <c r="E16" s="0" t="n">
        <v>17.2018609207583</v>
      </c>
      <c r="F16" s="0" t="n">
        <v>17.7436573354662</v>
      </c>
      <c r="G16" s="0" t="n">
        <v>17.6683224399799</v>
      </c>
      <c r="H16" s="0" t="n">
        <v>17.7224613122718</v>
      </c>
      <c r="I16" s="10" t="n">
        <f aca="false">$B16*C16</f>
        <v>1225.46222089762</v>
      </c>
      <c r="J16" s="10" t="n">
        <f aca="false">$B16*D16</f>
        <v>1227.36651257157</v>
      </c>
      <c r="K16" s="10" t="n">
        <f aca="false">$B16*E16</f>
        <v>1170.46105613091</v>
      </c>
      <c r="L16" s="17" t="n">
        <f aca="false">$B16*F16</f>
        <v>1207.3263468508</v>
      </c>
      <c r="M16" s="17" t="n">
        <f aca="false">$B16*G16</f>
        <v>1202.20035718372</v>
      </c>
      <c r="N16" s="17" t="n">
        <f aca="false">$B16*H16</f>
        <v>1205.88411221072</v>
      </c>
    </row>
    <row r="17" customFormat="false" ht="15" hidden="false" customHeight="false" outlineLevel="0" collapsed="false">
      <c r="A17" s="4" t="s">
        <v>70</v>
      </c>
      <c r="B17" s="16" t="n">
        <v>67.6577887750267</v>
      </c>
      <c r="C17" s="0" t="n">
        <v>8.7504384994281</v>
      </c>
      <c r="D17" s="0" t="n">
        <v>8.67716024531156</v>
      </c>
      <c r="E17" s="0" t="n">
        <v>8.22563957519849</v>
      </c>
      <c r="F17" s="0" t="n">
        <v>8.71201993618243</v>
      </c>
      <c r="G17" s="0" t="n">
        <v>8.53090508960186</v>
      </c>
      <c r="H17" s="0" t="n">
        <v>8.6813359505805</v>
      </c>
      <c r="I17" s="10" t="n">
        <f aca="false">$B17*C17</f>
        <v>592.035319683168</v>
      </c>
      <c r="J17" s="10" t="n">
        <f aca="false">$B17*D17</f>
        <v>587.077475044349</v>
      </c>
      <c r="K17" s="10" t="n">
        <f aca="false">$B17*E17</f>
        <v>556.52858491828</v>
      </c>
      <c r="L17" s="17" t="n">
        <f aca="false">$B17*F17</f>
        <v>589.436004646053</v>
      </c>
      <c r="M17" s="17" t="n">
        <f aca="false">$B17*G17</f>
        <v>577.182174612083</v>
      </c>
      <c r="N17" s="17" t="n">
        <f aca="false">$B17*H17</f>
        <v>587.359994029422</v>
      </c>
    </row>
    <row r="18" customFormat="false" ht="15" hidden="false" customHeight="false" outlineLevel="0" collapsed="false">
      <c r="A18" s="4" t="s">
        <v>71</v>
      </c>
      <c r="B18" s="16" t="n">
        <v>74.6810618077299</v>
      </c>
      <c r="C18" s="0" t="n">
        <v>8.01903384410445</v>
      </c>
      <c r="D18" s="0" t="n">
        <v>7.82882828235551</v>
      </c>
      <c r="E18" s="0" t="n">
        <v>7.43911634393676</v>
      </c>
      <c r="F18" s="0" t="n">
        <v>7.77193758862432</v>
      </c>
      <c r="G18" s="0" t="n">
        <v>7.62851793958503</v>
      </c>
      <c r="H18" s="0" t="n">
        <v>7.46886368881335</v>
      </c>
      <c r="I18" s="10" t="n">
        <f aca="false">$B18*C18</f>
        <v>598.869962149842</v>
      </c>
      <c r="J18" s="10" t="n">
        <f aca="false">$B18*D18</f>
        <v>584.665208836696</v>
      </c>
      <c r="K18" s="10" t="n">
        <f aca="false">$B18*E18</f>
        <v>555.561107476435</v>
      </c>
      <c r="L18" s="17" t="n">
        <f aca="false">$B18*F18</f>
        <v>580.416551421872</v>
      </c>
      <c r="M18" s="17" t="n">
        <f aca="false">$B18*G18</f>
        <v>569.705819747526</v>
      </c>
      <c r="N18" s="17" t="n">
        <f aca="false">$B18*H18</f>
        <v>557.782670777779</v>
      </c>
    </row>
    <row r="19" customFormat="false" ht="15" hidden="false" customHeight="false" outlineLevel="0" collapsed="false">
      <c r="A19" s="4" t="s">
        <v>72</v>
      </c>
      <c r="B19" s="16" t="n">
        <v>68.0707604335986</v>
      </c>
      <c r="C19" s="0" t="n">
        <v>7.98707595948135</v>
      </c>
      <c r="D19" s="0" t="n">
        <v>8.09453173216881</v>
      </c>
      <c r="E19" s="0" t="n">
        <v>7.79241046665857</v>
      </c>
      <c r="F19" s="0" t="n">
        <v>8.02607527939039</v>
      </c>
      <c r="G19" s="0" t="n">
        <v>8.09203459690805</v>
      </c>
      <c r="H19" s="0" t="n">
        <v>8.59402132433096</v>
      </c>
      <c r="I19" s="10" t="n">
        <f aca="false">$B19*C19</f>
        <v>543.68633420281</v>
      </c>
      <c r="J19" s="10" t="n">
        <f aca="false">$B19*D19</f>
        <v>551.000930362625</v>
      </c>
      <c r="K19" s="10" t="n">
        <f aca="false">$B19*E19</f>
        <v>530.435306076182</v>
      </c>
      <c r="L19" s="17" t="n">
        <f aca="false">$B19*F19</f>
        <v>546.341047565412</v>
      </c>
      <c r="M19" s="17" t="n">
        <f aca="false">$B19*G19</f>
        <v>550.83094846652</v>
      </c>
      <c r="N19" s="17" t="n">
        <f aca="false">$B19*H19</f>
        <v>585.001566729771</v>
      </c>
    </row>
    <row r="20" customFormat="false" ht="15" hidden="false" customHeight="false" outlineLevel="0" collapsed="false">
      <c r="A20" s="4" t="s">
        <v>73</v>
      </c>
      <c r="B20" s="16" t="n">
        <v>103.206900474532</v>
      </c>
      <c r="C20" s="0" t="n">
        <v>9.76019877408795</v>
      </c>
      <c r="D20" s="0" t="n">
        <v>11.5831848349782</v>
      </c>
      <c r="E20" s="0" t="n">
        <v>10.5143124143241</v>
      </c>
      <c r="F20" s="0" t="n">
        <v>9.65091188403754</v>
      </c>
      <c r="G20" s="0" t="n">
        <v>9.90595342921531</v>
      </c>
      <c r="H20" s="0" t="n">
        <v>10.1333616975961</v>
      </c>
      <c r="I20" s="10" t="n">
        <f aca="false">$B20*C20</f>
        <v>1007.31986348894</v>
      </c>
      <c r="J20" s="10" t="n">
        <f aca="false">$B20*D20</f>
        <v>1195.46460444169</v>
      </c>
      <c r="K20" s="10" t="n">
        <f aca="false">$B20*E20</f>
        <v>1085.14959490327</v>
      </c>
      <c r="L20" s="17" t="n">
        <f aca="false">$B20*F20</f>
        <v>996.040702304336</v>
      </c>
      <c r="M20" s="17" t="n">
        <f aca="false">$B20*G20</f>
        <v>1022.36274967437</v>
      </c>
      <c r="N20" s="17" t="n">
        <f aca="false">$B20*H20</f>
        <v>1045.83285219623</v>
      </c>
    </row>
    <row r="21" customFormat="false" ht="15" hidden="false" customHeight="false" outlineLevel="0" collapsed="false">
      <c r="A21" s="4" t="s">
        <v>74</v>
      </c>
      <c r="B21" s="16" t="n">
        <v>107.185558531238</v>
      </c>
      <c r="C21" s="0" t="n">
        <v>10.703833202614</v>
      </c>
      <c r="D21" s="0" t="n">
        <v>11.2273618393674</v>
      </c>
      <c r="E21" s="0" t="n">
        <v>10.5218064113654</v>
      </c>
      <c r="F21" s="0" t="n">
        <v>9.96390775043636</v>
      </c>
      <c r="G21" s="0" t="n">
        <v>10.4306097867551</v>
      </c>
      <c r="H21" s="0" t="n">
        <v>10.2134258027129</v>
      </c>
      <c r="I21" s="10" t="n">
        <f aca="false">$B21*C21</f>
        <v>1147.2963402474</v>
      </c>
      <c r="J21" s="10" t="n">
        <f aca="false">$B21*D21</f>
        <v>1203.41104958491</v>
      </c>
      <c r="K21" s="10" t="n">
        <f aca="false">$B21*E21</f>
        <v>1127.78569695977</v>
      </c>
      <c r="L21" s="17" t="n">
        <f aca="false">$B21*F21</f>
        <v>1067.98701738426</v>
      </c>
      <c r="M21" s="17" t="n">
        <f aca="false">$B21*G21</f>
        <v>1118.01073581475</v>
      </c>
      <c r="N21" s="17" t="n">
        <f aca="false">$B21*H21</f>
        <v>1094.73174918114</v>
      </c>
    </row>
  </sheetData>
  <mergeCells count="3">
    <mergeCell ref="C1:H1"/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LibreOffice/7.4.7.2$Linux_X86_64 LibreOffice_project/40$Build-2</Application>
  <AppVersion>15.0000</AppVersion>
  <Company>Universidad Pablo de Olavide, de Sevilla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2026-02-12T14:39:44Z</dcterms:created>
  <dc:creator>Fernando Relinque Medina</dc:creator>
  <dc:description/>
  <dc:language>es-ES</dc:language>
  <cp:lastModifiedBy/>
  <dcterms:modified xsi:type="dcterms:W3CDTF">2026-03-29T19:09:25Z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